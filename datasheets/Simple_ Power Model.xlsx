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nglh\Desktop\PlantPulse\datasheets\"/>
    </mc:Choice>
  </mc:AlternateContent>
  <xr:revisionPtr revIDLastSave="0" documentId="13_ncr:1_{66B1C074-AD80-4602-A811-3F32F1482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8" i="2" l="1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B93" i="2" s="1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O76" i="2"/>
  <c r="N76" i="2"/>
  <c r="M76" i="2"/>
  <c r="L76" i="2"/>
  <c r="K76" i="2"/>
  <c r="C76" i="2"/>
  <c r="B76" i="2"/>
  <c r="D76" i="2" s="1"/>
  <c r="A76" i="2"/>
  <c r="W75" i="2"/>
  <c r="V75" i="2"/>
  <c r="U75" i="2"/>
  <c r="T75" i="2"/>
  <c r="C75" i="2"/>
  <c r="B75" i="2"/>
  <c r="J75" i="2" s="1"/>
  <c r="A75" i="2"/>
  <c r="W74" i="2"/>
  <c r="V74" i="2"/>
  <c r="U74" i="2"/>
  <c r="T74" i="2"/>
  <c r="N74" i="2"/>
  <c r="L74" i="2"/>
  <c r="C74" i="2"/>
  <c r="B74" i="2"/>
  <c r="M74" i="2" s="1"/>
  <c r="A74" i="2"/>
  <c r="W73" i="2"/>
  <c r="V73" i="2"/>
  <c r="U73" i="2"/>
  <c r="T73" i="2"/>
  <c r="C73" i="2"/>
  <c r="B73" i="2"/>
  <c r="M73" i="2" s="1"/>
  <c r="A73" i="2"/>
  <c r="W72" i="2"/>
  <c r="V72" i="2"/>
  <c r="U72" i="2"/>
  <c r="T72" i="2"/>
  <c r="O72" i="2"/>
  <c r="C72" i="2"/>
  <c r="B72" i="2"/>
  <c r="N72" i="2" s="1"/>
  <c r="A72" i="2"/>
  <c r="W71" i="2"/>
  <c r="V71" i="2"/>
  <c r="U71" i="2"/>
  <c r="T71" i="2"/>
  <c r="C71" i="2"/>
  <c r="B71" i="2"/>
  <c r="F71" i="2" s="1"/>
  <c r="A71" i="2"/>
  <c r="W70" i="2"/>
  <c r="V70" i="2"/>
  <c r="U70" i="2"/>
  <c r="T70" i="2"/>
  <c r="C70" i="2"/>
  <c r="B70" i="2"/>
  <c r="I70" i="2" s="1"/>
  <c r="A70" i="2"/>
  <c r="W69" i="2"/>
  <c r="V69" i="2"/>
  <c r="U69" i="2"/>
  <c r="T69" i="2"/>
  <c r="C69" i="2"/>
  <c r="B69" i="2"/>
  <c r="L69" i="2" s="1"/>
  <c r="A69" i="2"/>
  <c r="W68" i="2"/>
  <c r="V68" i="2"/>
  <c r="U68" i="2"/>
  <c r="T68" i="2"/>
  <c r="N68" i="2"/>
  <c r="M68" i="2"/>
  <c r="K68" i="2"/>
  <c r="J68" i="2"/>
  <c r="H68" i="2"/>
  <c r="C68" i="2"/>
  <c r="B68" i="2"/>
  <c r="L68" i="2" s="1"/>
  <c r="A68" i="2"/>
  <c r="W67" i="2"/>
  <c r="V67" i="2"/>
  <c r="U67" i="2"/>
  <c r="T67" i="2"/>
  <c r="C67" i="2"/>
  <c r="B67" i="2"/>
  <c r="O67" i="2" s="1"/>
  <c r="A67" i="2"/>
  <c r="W66" i="2"/>
  <c r="V66" i="2"/>
  <c r="U66" i="2"/>
  <c r="T66" i="2"/>
  <c r="C66" i="2"/>
  <c r="B66" i="2"/>
  <c r="O66" i="2" s="1"/>
  <c r="A66" i="2"/>
  <c r="W65" i="2"/>
  <c r="V65" i="2"/>
  <c r="U65" i="2"/>
  <c r="T65" i="2"/>
  <c r="C65" i="2"/>
  <c r="B65" i="2"/>
  <c r="E65" i="2" s="1"/>
  <c r="A65" i="2"/>
  <c r="W64" i="2"/>
  <c r="V64" i="2"/>
  <c r="U64" i="2"/>
  <c r="T64" i="2"/>
  <c r="C64" i="2"/>
  <c r="B64" i="2"/>
  <c r="K64" i="2" s="1"/>
  <c r="A64" i="2"/>
  <c r="W63" i="2"/>
  <c r="V63" i="2"/>
  <c r="U63" i="2"/>
  <c r="T63" i="2"/>
  <c r="C63" i="2"/>
  <c r="B63" i="2"/>
  <c r="N63" i="2" s="1"/>
  <c r="A63" i="2"/>
  <c r="W62" i="2"/>
  <c r="V62" i="2"/>
  <c r="U62" i="2"/>
  <c r="T62" i="2"/>
  <c r="C62" i="2"/>
  <c r="B62" i="2"/>
  <c r="A62" i="2"/>
  <c r="W61" i="2"/>
  <c r="V61" i="2"/>
  <c r="U61" i="2"/>
  <c r="T61" i="2"/>
  <c r="C61" i="2"/>
  <c r="B61" i="2"/>
  <c r="D61" i="2" s="1"/>
  <c r="A61" i="2"/>
  <c r="W60" i="2"/>
  <c r="V60" i="2"/>
  <c r="U60" i="2"/>
  <c r="T60" i="2"/>
  <c r="C60" i="2"/>
  <c r="B60" i="2"/>
  <c r="D60" i="2" s="1"/>
  <c r="A60" i="2"/>
  <c r="W59" i="2"/>
  <c r="V59" i="2"/>
  <c r="U59" i="2"/>
  <c r="T59" i="2"/>
  <c r="C59" i="2"/>
  <c r="B59" i="2"/>
  <c r="J59" i="2" s="1"/>
  <c r="A59" i="2"/>
  <c r="W58" i="2"/>
  <c r="V58" i="2"/>
  <c r="U58" i="2"/>
  <c r="T58" i="2"/>
  <c r="C58" i="2"/>
  <c r="B58" i="2"/>
  <c r="J58" i="2" s="1"/>
  <c r="A58" i="2"/>
  <c r="W57" i="2"/>
  <c r="V57" i="2"/>
  <c r="U57" i="2"/>
  <c r="T57" i="2"/>
  <c r="C57" i="2"/>
  <c r="B57" i="2"/>
  <c r="M57" i="2" s="1"/>
  <c r="A57" i="2"/>
  <c r="W56" i="2"/>
  <c r="V56" i="2"/>
  <c r="U56" i="2"/>
  <c r="T56" i="2"/>
  <c r="C56" i="2"/>
  <c r="B56" i="2"/>
  <c r="K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M31" i="1"/>
  <c r="M28" i="1"/>
  <c r="L28" i="1"/>
  <c r="A90" i="2" s="1"/>
  <c r="M27" i="1"/>
  <c r="L27" i="1"/>
  <c r="A89" i="2" s="1"/>
  <c r="M26" i="1"/>
  <c r="L26" i="1"/>
  <c r="A88" i="2" s="1"/>
  <c r="E66" i="2" l="1"/>
  <c r="H67" i="2"/>
  <c r="L63" i="2"/>
  <c r="F65" i="2"/>
  <c r="F66" i="2"/>
  <c r="I67" i="2"/>
  <c r="H66" i="2"/>
  <c r="I66" i="2"/>
  <c r="N67" i="2"/>
  <c r="G65" i="2"/>
  <c r="J67" i="2"/>
  <c r="H65" i="2"/>
  <c r="I65" i="2"/>
  <c r="K66" i="2"/>
  <c r="L65" i="2"/>
  <c r="L66" i="2"/>
  <c r="O63" i="2"/>
  <c r="J66" i="2"/>
  <c r="M65" i="2"/>
  <c r="N66" i="2"/>
  <c r="N65" i="2"/>
  <c r="G67" i="2"/>
  <c r="M60" i="2"/>
  <c r="K67" i="2"/>
  <c r="K65" i="2"/>
  <c r="N60" i="2"/>
  <c r="O60" i="2"/>
  <c r="E61" i="2"/>
  <c r="K61" i="2"/>
  <c r="D63" i="2"/>
  <c r="L61" i="2"/>
  <c r="E63" i="2"/>
  <c r="E68" i="2"/>
  <c r="O27" i="1"/>
  <c r="F63" i="2"/>
  <c r="F68" i="2"/>
  <c r="J63" i="2"/>
  <c r="D66" i="2"/>
  <c r="F67" i="2"/>
  <c r="G68" i="2"/>
  <c r="E70" i="2"/>
  <c r="K59" i="2"/>
  <c r="O65" i="2"/>
  <c r="M66" i="2"/>
  <c r="O68" i="2"/>
  <c r="G70" i="2"/>
  <c r="H70" i="2"/>
  <c r="F59" i="2"/>
  <c r="J70" i="2"/>
  <c r="J61" i="2"/>
  <c r="M70" i="2"/>
  <c r="D72" i="2"/>
  <c r="O70" i="2"/>
  <c r="G72" i="2"/>
  <c r="I72" i="2"/>
  <c r="J72" i="2"/>
  <c r="D68" i="2"/>
  <c r="K72" i="2"/>
  <c r="E74" i="2"/>
  <c r="E60" i="2"/>
  <c r="F60" i="2"/>
  <c r="G60" i="2"/>
  <c r="H60" i="2"/>
  <c r="K60" i="2"/>
  <c r="L60" i="2"/>
  <c r="D65" i="2"/>
  <c r="D74" i="2"/>
  <c r="I74" i="2"/>
  <c r="F74" i="2"/>
  <c r="K74" i="2"/>
  <c r="E76" i="2"/>
  <c r="F76" i="2"/>
  <c r="G76" i="2"/>
  <c r="H76" i="2"/>
  <c r="F75" i="2"/>
  <c r="K75" i="2"/>
  <c r="E58" i="2"/>
  <c r="F58" i="2"/>
  <c r="D58" i="2"/>
  <c r="I58" i="2"/>
  <c r="L58" i="2"/>
  <c r="M58" i="2"/>
  <c r="N58" i="2"/>
  <c r="K58" i="2"/>
  <c r="D57" i="2"/>
  <c r="F57" i="2"/>
  <c r="H57" i="2"/>
  <c r="I57" i="2"/>
  <c r="G57" i="2"/>
  <c r="K57" i="2"/>
  <c r="L57" i="2"/>
  <c r="E57" i="2"/>
  <c r="N57" i="2"/>
  <c r="O57" i="2"/>
  <c r="D56" i="2"/>
  <c r="G56" i="2"/>
  <c r="I56" i="2"/>
  <c r="J56" i="2"/>
  <c r="O56" i="2"/>
  <c r="E73" i="2"/>
  <c r="H73" i="2"/>
  <c r="K73" i="2"/>
  <c r="N73" i="2"/>
  <c r="F73" i="2"/>
  <c r="I73" i="2"/>
  <c r="O73" i="2"/>
  <c r="D73" i="2"/>
  <c r="G73" i="2"/>
  <c r="L73" i="2"/>
  <c r="L64" i="2"/>
  <c r="G71" i="2"/>
  <c r="L71" i="2"/>
  <c r="M71" i="2"/>
  <c r="B90" i="2"/>
  <c r="M33" i="1"/>
  <c r="M34" i="1" s="1"/>
  <c r="B88" i="2"/>
  <c r="O28" i="1"/>
  <c r="F93" i="2"/>
  <c r="E93" i="2"/>
  <c r="D93" i="2"/>
  <c r="L93" i="2"/>
  <c r="N93" i="2"/>
  <c r="O93" i="2"/>
  <c r="M93" i="2"/>
  <c r="K93" i="2"/>
  <c r="J93" i="2"/>
  <c r="I93" i="2"/>
  <c r="H93" i="2"/>
  <c r="G93" i="2"/>
  <c r="E56" i="2"/>
  <c r="O58" i="2"/>
  <c r="L59" i="2"/>
  <c r="I60" i="2"/>
  <c r="F61" i="2"/>
  <c r="M64" i="2"/>
  <c r="J65" i="2"/>
  <c r="G66" i="2"/>
  <c r="D67" i="2"/>
  <c r="N69" i="2"/>
  <c r="K70" i="2"/>
  <c r="H71" i="2"/>
  <c r="E72" i="2"/>
  <c r="O74" i="2"/>
  <c r="L75" i="2"/>
  <c r="I76" i="2"/>
  <c r="F56" i="2"/>
  <c r="M59" i="2"/>
  <c r="J60" i="2"/>
  <c r="G61" i="2"/>
  <c r="D62" i="2"/>
  <c r="N64" i="2"/>
  <c r="E67" i="2"/>
  <c r="O69" i="2"/>
  <c r="L70" i="2"/>
  <c r="I71" i="2"/>
  <c r="F72" i="2"/>
  <c r="M75" i="2"/>
  <c r="J76" i="2"/>
  <c r="M69" i="2"/>
  <c r="O26" i="1"/>
  <c r="N59" i="2"/>
  <c r="H61" i="2"/>
  <c r="E62" i="2"/>
  <c r="O64" i="2"/>
  <c r="J71" i="2"/>
  <c r="N75" i="2"/>
  <c r="H56" i="2"/>
  <c r="O59" i="2"/>
  <c r="I61" i="2"/>
  <c r="F62" i="2"/>
  <c r="N70" i="2"/>
  <c r="K71" i="2"/>
  <c r="H72" i="2"/>
  <c r="O75" i="2"/>
  <c r="H62" i="2"/>
  <c r="I62" i="2"/>
  <c r="D69" i="2"/>
  <c r="N71" i="2"/>
  <c r="L56" i="2"/>
  <c r="M61" i="2"/>
  <c r="J62" i="2"/>
  <c r="G63" i="2"/>
  <c r="D64" i="2"/>
  <c r="E69" i="2"/>
  <c r="O71" i="2"/>
  <c r="L72" i="2"/>
  <c r="M56" i="2"/>
  <c r="J57" i="2"/>
  <c r="G58" i="2"/>
  <c r="D59" i="2"/>
  <c r="N61" i="2"/>
  <c r="K62" i="2"/>
  <c r="H63" i="2"/>
  <c r="E64" i="2"/>
  <c r="L67" i="2"/>
  <c r="I68" i="2"/>
  <c r="F69" i="2"/>
  <c r="M72" i="2"/>
  <c r="J73" i="2"/>
  <c r="G74" i="2"/>
  <c r="D75" i="2"/>
  <c r="B89" i="2"/>
  <c r="N56" i="2"/>
  <c r="H58" i="2"/>
  <c r="E59" i="2"/>
  <c r="O61" i="2"/>
  <c r="L62" i="2"/>
  <c r="I63" i="2"/>
  <c r="F64" i="2"/>
  <c r="M67" i="2"/>
  <c r="G69" i="2"/>
  <c r="D70" i="2"/>
  <c r="H74" i="2"/>
  <c r="E75" i="2"/>
  <c r="G59" i="2"/>
  <c r="N62" i="2"/>
  <c r="K63" i="2"/>
  <c r="H64" i="2"/>
  <c r="I69" i="2"/>
  <c r="F70" i="2"/>
  <c r="J74" i="2"/>
  <c r="G75" i="2"/>
  <c r="M62" i="2"/>
  <c r="G64" i="2"/>
  <c r="H69" i="2"/>
  <c r="H59" i="2"/>
  <c r="O62" i="2"/>
  <c r="E71" i="2"/>
  <c r="I75" i="2"/>
  <c r="G62" i="2"/>
  <c r="I64" i="2"/>
  <c r="J69" i="2"/>
  <c r="D71" i="2"/>
  <c r="H75" i="2"/>
  <c r="I59" i="2"/>
  <c r="M63" i="2"/>
  <c r="J64" i="2"/>
  <c r="K69" i="2"/>
  <c r="G88" i="2" l="1"/>
  <c r="K88" i="2"/>
  <c r="I88" i="2"/>
  <c r="D90" i="2"/>
  <c r="D89" i="2"/>
  <c r="G89" i="2"/>
  <c r="O88" i="2"/>
  <c r="B95" i="2"/>
  <c r="B96" i="2" s="1"/>
  <c r="O90" i="2"/>
  <c r="K90" i="2"/>
  <c r="L88" i="2"/>
  <c r="L90" i="2"/>
  <c r="L89" i="2"/>
  <c r="O89" i="2"/>
  <c r="I89" i="2"/>
  <c r="D88" i="2"/>
  <c r="M90" i="2"/>
  <c r="M89" i="2"/>
  <c r="M88" i="2"/>
  <c r="F89" i="2"/>
  <c r="F88" i="2"/>
  <c r="F90" i="2"/>
  <c r="J90" i="2"/>
  <c r="G90" i="2"/>
  <c r="J89" i="2"/>
  <c r="E89" i="2"/>
  <c r="E88" i="2"/>
  <c r="E90" i="2"/>
  <c r="I90" i="2"/>
  <c r="K89" i="2"/>
  <c r="H89" i="2"/>
  <c r="H88" i="2"/>
  <c r="H90" i="2"/>
  <c r="N89" i="2"/>
  <c r="N90" i="2"/>
  <c r="N88" i="2"/>
  <c r="J88" i="2"/>
  <c r="D95" i="2" l="1"/>
  <c r="D96" i="2" s="1"/>
  <c r="D98" i="2" s="1"/>
  <c r="G95" i="2"/>
  <c r="G96" i="2" s="1"/>
  <c r="G98" i="2" s="1"/>
  <c r="J95" i="2"/>
  <c r="J96" i="2" s="1"/>
  <c r="J98" i="2" s="1"/>
  <c r="K95" i="2"/>
  <c r="K96" i="2" s="1"/>
  <c r="K98" i="2" s="1"/>
  <c r="O95" i="2"/>
  <c r="O96" i="2" s="1"/>
  <c r="O98" i="2" s="1"/>
  <c r="L95" i="2"/>
  <c r="L96" i="2" s="1"/>
  <c r="L98" i="2" s="1"/>
  <c r="N95" i="2"/>
  <c r="N96" i="2" s="1"/>
  <c r="N98" i="2" s="1"/>
  <c r="E95" i="2"/>
  <c r="E96" i="2" s="1"/>
  <c r="E98" i="2" s="1"/>
  <c r="F95" i="2"/>
  <c r="F96" i="2" s="1"/>
  <c r="F98" i="2" s="1"/>
  <c r="M95" i="2"/>
  <c r="M96" i="2" s="1"/>
  <c r="M98" i="2" s="1"/>
  <c r="H95" i="2"/>
  <c r="H96" i="2" s="1"/>
  <c r="H98" i="2" s="1"/>
  <c r="I95" i="2"/>
  <c r="I96" i="2" s="1"/>
  <c r="I98" i="2" s="1"/>
</calcChain>
</file>

<file path=xl/sharedStrings.xml><?xml version="1.0" encoding="utf-8"?>
<sst xmlns="http://schemas.openxmlformats.org/spreadsheetml/2006/main" count="97" uniqueCount="76">
  <si>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</si>
  <si>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</si>
  <si>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</si>
  <si>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</si>
  <si>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</si>
  <si>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</si>
  <si>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</si>
  <si>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</si>
  <si>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</si>
  <si>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</si>
  <si>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</si>
  <si>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</si>
  <si>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</si>
  <si>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</si>
  <si>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</si>
  <si>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</si>
  <si>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</si>
  <si>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</si>
  <si>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</si>
  <si>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</si>
  <si>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</si>
  <si>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</si>
  <si>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</si>
  <si>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</si>
  <si>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</si>
  <si>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</si>
  <si>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</si>
  <si>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</si>
  <si>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</si>
  <si>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</si>
  <si>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</si>
  <si>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</si>
  <si>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</si>
  <si>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</si>
  <si>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</si>
  <si>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</si>
  <si>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</si>
  <si>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</si>
  <si>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</si>
  <si>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</si>
  <si>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</si>
  <si>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</si>
  <si>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</si>
  <si>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</si>
  <si>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</si>
  <si>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</si>
  <si>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</si>
  <si>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</si>
  <si>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</si>
  <si>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</si>
  <si>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</si>
  <si>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</si>
  <si>
    <t>Announcement: I'll only use battery for the sensing device and I'll use USB charge for display device</t>
    <phoneticPr fontId="4" type="noConversion"/>
  </si>
  <si>
    <t>Classic LiPo Battery</t>
    <phoneticPr fontId="4" type="noConversion"/>
  </si>
  <si>
    <t>Regulator Efficiency</t>
    <phoneticPr fontId="4" type="noConversion"/>
  </si>
  <si>
    <t>2+16.5=18.5</t>
    <phoneticPr fontId="4" type="noConversion"/>
  </si>
  <si>
    <t>0.15+16.5=16.65</t>
    <phoneticPr fontId="4" type="noConversion"/>
  </si>
  <si>
    <t>The sensing device has two sensors: "SHT3x" and "SEN0193". When gathering data, they will periodicly work for 50% of total time.</t>
    <phoneticPr fontId="4" type="noConversion"/>
  </si>
  <si>
    <t>Link to datasheet:https://github.com/menglh20/PlantPulse/blob/main/datasheets/esp32-c3_datasheet.pdf</t>
    <phoneticPr fontId="4" type="noConversion"/>
  </si>
  <si>
    <t>Link to datasheet:https://github.com/menglh20/PlantPulse/blob/main/datasheets/Datasheet_SHT3x_DIS.pdf and  https://github.com/menglh20/PlantPulse/blob/main/datasheets/SEN0193.pdf</t>
    <phoneticPr fontId="4" type="noConversion"/>
  </si>
  <si>
    <t>The sensing device don't have a LED. So it is all zero.</t>
    <phoneticPr fontId="4" type="noConversion"/>
  </si>
  <si>
    <t>The sensing device don't have a component for display. So it is all zero.</t>
    <phoneticPr fontId="4" type="noConversion"/>
  </si>
  <si>
    <t>The sensing device will sleep for 5 minutes, then wake up, gather data and send to display device in 1 minute.</t>
    <phoneticPr fontId="4" type="noConversion"/>
  </si>
  <si>
    <t>It will use 10% time to send BLE message while 90% time stay connected but not tx during "interative" mode.</t>
    <phoneticPr fontId="4" type="noConversion"/>
  </si>
  <si>
    <t>hours/day typical usage</t>
    <phoneticPr fontId="4" type="noConversion"/>
  </si>
  <si>
    <r>
      <t>Days of use.</t>
    </r>
    <r>
      <rPr>
        <sz val="10"/>
        <color rgb="FF000000"/>
        <rFont val="Arial"/>
        <family val="2"/>
        <scheme val="minor"/>
      </rPr>
      <t xml:space="preserve"> I defined “days of use” as the amount of time the </t>
    </r>
    <r>
      <rPr>
        <i/>
        <sz val="10"/>
        <color rgb="FF000000"/>
        <rFont val="Arial"/>
        <family val="2"/>
        <scheme val="minor"/>
      </rPr>
      <t>sensing device</t>
    </r>
    <r>
      <rPr>
        <sz val="10"/>
        <color rgb="FF000000"/>
        <rFont val="Arial"/>
        <family val="2"/>
        <scheme val="minor"/>
      </rPr>
      <t xml:space="preserve"> can stay deployed in a flower pot before the user needs to replace or recharge the battery. </t>
    </r>
    <phoneticPr fontId="4" type="noConversion"/>
  </si>
  <si>
    <t xml:space="preserve">Since this device is meant to be left unattended for long periods, maximizing runtime is a core success metric: </t>
    <phoneticPr fontId="4" type="noConversion"/>
  </si>
  <si>
    <t>I estimate days of use by modeling the device’s average daily energy consumption under typical off/sensing/interactive usage, then dividing the available battery capacity by that daily consumption to predict how many days it can run continuously.</t>
  </si>
  <si>
    <r>
      <t>Optimum battery size.</t>
    </r>
    <r>
      <rPr>
        <sz val="10"/>
        <color rgb="FF000000"/>
        <rFont val="Arial"/>
        <family val="2"/>
        <scheme val="minor"/>
      </rPr>
      <t xml:space="preserve"> Based on my current power model, a classic </t>
    </r>
    <r>
      <rPr>
        <b/>
        <sz val="10"/>
        <color rgb="FF000000"/>
        <rFont val="Arial"/>
        <family val="2"/>
        <scheme val="minor"/>
      </rPr>
      <t>1200 mAh LiPo</t>
    </r>
    <r>
      <rPr>
        <sz val="10"/>
        <color rgb="FF000000"/>
        <rFont val="Arial"/>
        <family val="2"/>
        <scheme val="minor"/>
      </rPr>
      <t xml:space="preserve"> can support about </t>
    </r>
    <r>
      <rPr>
        <b/>
        <sz val="10"/>
        <color rgb="FF000000"/>
        <rFont val="Arial"/>
        <family val="2"/>
        <scheme val="minor"/>
      </rPr>
      <t>8 days</t>
    </r>
    <r>
      <rPr>
        <sz val="10"/>
        <color rgb="FF000000"/>
        <rFont val="Arial"/>
        <family val="2"/>
        <scheme val="minor"/>
      </rPr>
      <t xml:space="preserve"> of operation. </t>
    </r>
    <phoneticPr fontId="4" type="noConversion"/>
  </si>
  <si>
    <t xml:space="preserve">However, my goal is closer to one month of hands-off use, so an “optimum” target capacity would be around 4800 mAh (roughly 4× the capacity to reach ~4× the runtime), assuming similar operating conditions and usage patterns. </t>
    <phoneticPr fontId="4" type="noConversion"/>
  </si>
  <si>
    <t>This size provides a more user-friendly maintenance interval, at the cost of increased size, weight, and price.</t>
  </si>
  <si>
    <r>
      <t>Tradeoffs to improve user experience.</t>
    </r>
    <r>
      <rPr>
        <sz val="10"/>
        <color rgb="FF000000"/>
        <rFont val="Arial"/>
        <family val="2"/>
        <scheme val="minor"/>
      </rPr>
      <t xml:space="preserve"> To improve the experience without simply increasing battery size, I could make several hardware/software/cost/effort tradeoffs. </t>
    </r>
    <phoneticPr fontId="4" type="noConversion"/>
  </si>
  <si>
    <t xml:space="preserve">On the hardware side, adding a power switch/load switch (or MOSFET power gating) for the higher-draw sensor (SEN0193) would reduce wasted energy when it is not actively needed, but it adds components, PCB complexity, and testing effort. </t>
    <phoneticPr fontId="4" type="noConversion"/>
  </si>
  <si>
    <t xml:space="preserve">On the software side, shortening wake time, reducing BLE connection time, batching data transfers, or lowering sampling frequency can significantly extend runtime, but may reduce update responsiveness or data granularity. </t>
    <phoneticPr fontId="4" type="noConversion"/>
  </si>
  <si>
    <t xml:space="preserve">From a cost/effort perspective, using a more efficient power regulator or optimizing firmware for deeper sleep states can improve battery life with minimal UX impact, but it requires more careful power debugging and validation. </t>
    <phoneticPr fontId="4" type="noConversion"/>
  </si>
  <si>
    <t>Overall, the best user experience likely comes from combining power gating and smarter duty cycling so the device can approach month-long operation without making the physical battery excessively large.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</si>
</sst>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76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0" fontId="5" fillId="0" borderId="0" xfId="0" applyFont="1"/>
    <xf numFmtId="0" fontId="6" fillId="0" borderId="1" xfId="0" applyFont="1" applyBorder="1"/>
    <xf numFmtId="1" fontId="6" fillId="0" borderId="0" xfId="0" applyNumberFormat="1" applyFont="1"/>
    <xf numFmtId="0" fontId="6" fillId="0" borderId="4" xfId="0" applyFont="1" applyBorder="1"/>
    <xf numFmtId="1" fontId="6" fillId="2" borderId="0" xfId="0" applyNumberFormat="1" applyFont="1" applyFill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6.7096888260254506E-2</c:v>
                </c:pt>
                <c:pt idx="1">
                  <c:v>0</c:v>
                </c:pt>
                <c:pt idx="2">
                  <c:v>6.8350293181307364E-5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1.4350569001846392E-2</c:v>
                </c:pt>
                <c:pt idx="10">
                  <c:v>2.34431302725846E-2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0-4F98-B24F-71F56B0E8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4882551"/>
        <c:axId val="495124150"/>
      </c:barChart>
      <c:catAx>
        <c:axId val="2054882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495124150"/>
        <c:crosses val="autoZero"/>
        <c:auto val="1"/>
        <c:lblAlgn val="ctr"/>
        <c:lblOffset val="100"/>
        <c:noMultiLvlLbl val="1"/>
      </c:catAx>
      <c:valAx>
        <c:axId val="495124150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20548825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6.7096888260254506E-2</c:v>
                </c:pt>
                <c:pt idx="1">
                  <c:v>0</c:v>
                </c:pt>
                <c:pt idx="2">
                  <c:v>6.8350293181307364E-5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1.4350569001846392E-2</c:v>
                </c:pt>
                <c:pt idx="10">
                  <c:v>2.34431302725846E-2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8-4AA5-A50C-F29A1ABB7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2194446"/>
        <c:axId val="291017884"/>
      </c:barChart>
      <c:catAx>
        <c:axId val="1622194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291017884"/>
        <c:crosses val="autoZero"/>
        <c:auto val="1"/>
        <c:lblAlgn val="ctr"/>
        <c:lblOffset val="100"/>
        <c:noMultiLvlLbl val="1"/>
      </c:catAx>
      <c:valAx>
        <c:axId val="291017884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16221944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49"/>
  <sheetViews>
    <sheetView tabSelected="1" topLeftCell="A23" zoomScaleNormal="100" workbookViewId="0">
      <selection activeCell="L52" sqref="L52"/>
    </sheetView>
  </sheetViews>
  <sheetFormatPr defaultColWidth="12.5703125" defaultRowHeight="15.75" customHeight="1" x14ac:dyDescent="0.2"/>
  <cols>
    <col min="1" max="1" width="18" customWidth="1"/>
    <col min="5" max="5" width="12.7109375" customWidth="1"/>
  </cols>
  <sheetData>
    <row r="2" spans="1:9" x14ac:dyDescent="0.2">
      <c r="A2" s="26" t="s">
        <v>52</v>
      </c>
      <c r="B2" s="2"/>
      <c r="C2" s="2"/>
      <c r="D2" s="2"/>
      <c r="E2" s="2"/>
      <c r="F2" s="2"/>
      <c r="G2" s="2"/>
      <c r="H2" s="2"/>
      <c r="I2" s="3"/>
    </row>
    <row r="3" spans="1:9" x14ac:dyDescent="0.2">
      <c r="A3" s="4" t="s">
        <v>0</v>
      </c>
      <c r="E3" s="5" t="s">
        <v>1</v>
      </c>
      <c r="I3" s="6"/>
    </row>
    <row r="4" spans="1:9" x14ac:dyDescent="0.2">
      <c r="A4" s="7"/>
      <c r="B4" s="8" t="s">
        <v>2</v>
      </c>
      <c r="I4" s="6"/>
    </row>
    <row r="5" spans="1:9" x14ac:dyDescent="0.2">
      <c r="A5" s="7"/>
      <c r="B5" s="25"/>
      <c r="E5" s="9" t="s">
        <v>3</v>
      </c>
      <c r="F5" s="9" t="s">
        <v>4</v>
      </c>
      <c r="G5" s="9" t="s">
        <v>5</v>
      </c>
      <c r="I5" s="6"/>
    </row>
    <row r="6" spans="1:9" x14ac:dyDescent="0.2">
      <c r="A6" s="4" t="s">
        <v>6</v>
      </c>
      <c r="B6" s="25" t="s">
        <v>62</v>
      </c>
      <c r="E6" s="25"/>
      <c r="I6" s="6"/>
    </row>
    <row r="7" spans="1:9" x14ac:dyDescent="0.2">
      <c r="A7" s="7" t="s">
        <v>7</v>
      </c>
      <c r="B7" s="10">
        <v>75.900000000000006</v>
      </c>
      <c r="C7" s="9" t="s">
        <v>8</v>
      </c>
      <c r="E7" s="11">
        <v>0</v>
      </c>
      <c r="F7" s="12">
        <v>1</v>
      </c>
      <c r="G7" s="11">
        <v>1</v>
      </c>
      <c r="I7" s="6"/>
    </row>
    <row r="8" spans="1:9" x14ac:dyDescent="0.2">
      <c r="A8" s="7" t="s">
        <v>9</v>
      </c>
      <c r="B8" s="13">
        <v>56.1</v>
      </c>
      <c r="C8" s="9" t="s">
        <v>8</v>
      </c>
      <c r="E8" s="11">
        <v>0</v>
      </c>
      <c r="F8" s="12">
        <v>0</v>
      </c>
      <c r="G8" s="11">
        <v>0</v>
      </c>
      <c r="I8" s="6"/>
    </row>
    <row r="9" spans="1:9" x14ac:dyDescent="0.2">
      <c r="A9" s="7" t="s">
        <v>10</v>
      </c>
      <c r="B9" s="13">
        <v>1.6500000000000001E-2</v>
      </c>
      <c r="C9" s="9" t="s">
        <v>8</v>
      </c>
      <c r="E9" s="11">
        <v>1</v>
      </c>
      <c r="F9" s="11">
        <v>0</v>
      </c>
      <c r="G9" s="11">
        <v>0</v>
      </c>
      <c r="I9" s="6"/>
    </row>
    <row r="10" spans="1:9" x14ac:dyDescent="0.2">
      <c r="A10" s="28" t="s">
        <v>58</v>
      </c>
      <c r="I10" s="6"/>
    </row>
    <row r="11" spans="1:9" x14ac:dyDescent="0.2">
      <c r="A11" s="4" t="s">
        <v>11</v>
      </c>
      <c r="B11" s="25" t="s">
        <v>60</v>
      </c>
      <c r="I11" s="6"/>
    </row>
    <row r="12" spans="1:9" x14ac:dyDescent="0.2">
      <c r="A12" s="7" t="s">
        <v>12</v>
      </c>
      <c r="B12" s="13">
        <v>0</v>
      </c>
      <c r="C12" s="9" t="s">
        <v>8</v>
      </c>
      <c r="E12" s="11">
        <v>0</v>
      </c>
      <c r="F12" s="11">
        <v>0</v>
      </c>
      <c r="G12" s="11">
        <v>0</v>
      </c>
      <c r="I12" s="6"/>
    </row>
    <row r="13" spans="1:9" x14ac:dyDescent="0.2">
      <c r="A13" s="7"/>
      <c r="B13" s="14"/>
      <c r="I13" s="6"/>
    </row>
    <row r="14" spans="1:9" x14ac:dyDescent="0.2">
      <c r="A14" s="7"/>
      <c r="B14" s="14"/>
      <c r="I14" s="6"/>
    </row>
    <row r="15" spans="1:9" x14ac:dyDescent="0.2">
      <c r="A15" s="4" t="s">
        <v>13</v>
      </c>
      <c r="B15" s="27" t="s">
        <v>57</v>
      </c>
      <c r="I15" s="6"/>
    </row>
    <row r="16" spans="1:9" x14ac:dyDescent="0.2">
      <c r="A16" s="7" t="s">
        <v>12</v>
      </c>
      <c r="B16" s="29" t="s">
        <v>55</v>
      </c>
      <c r="C16" s="9" t="s">
        <v>8</v>
      </c>
      <c r="E16" s="11">
        <v>0</v>
      </c>
      <c r="F16" s="11">
        <v>0.5</v>
      </c>
      <c r="G16" s="11">
        <v>0</v>
      </c>
      <c r="I16" s="6"/>
    </row>
    <row r="17" spans="1:17" x14ac:dyDescent="0.2">
      <c r="A17" s="7" t="s">
        <v>9</v>
      </c>
      <c r="B17" s="29" t="s">
        <v>56</v>
      </c>
      <c r="C17" s="9" t="s">
        <v>8</v>
      </c>
      <c r="E17" s="11">
        <v>0</v>
      </c>
      <c r="F17" s="11">
        <v>0.5</v>
      </c>
      <c r="G17" s="11">
        <v>0</v>
      </c>
      <c r="I17" s="6"/>
    </row>
    <row r="18" spans="1:17" x14ac:dyDescent="0.2">
      <c r="A18" s="7" t="s">
        <v>14</v>
      </c>
      <c r="B18" s="13">
        <v>0</v>
      </c>
      <c r="C18" s="9" t="s">
        <v>8</v>
      </c>
      <c r="E18" s="11">
        <v>1</v>
      </c>
      <c r="F18" s="11">
        <v>0</v>
      </c>
      <c r="G18" s="11">
        <v>1</v>
      </c>
      <c r="I18" s="6"/>
    </row>
    <row r="19" spans="1:17" x14ac:dyDescent="0.2">
      <c r="A19" s="28" t="s">
        <v>59</v>
      </c>
      <c r="B19" s="14"/>
      <c r="I19" s="6"/>
    </row>
    <row r="20" spans="1:17" x14ac:dyDescent="0.2">
      <c r="A20" s="4" t="s">
        <v>15</v>
      </c>
      <c r="B20" s="27" t="s">
        <v>61</v>
      </c>
      <c r="I20" s="6"/>
    </row>
    <row r="21" spans="1:17" x14ac:dyDescent="0.2">
      <c r="A21" s="7" t="s">
        <v>12</v>
      </c>
      <c r="B21" s="13">
        <v>0</v>
      </c>
      <c r="C21" s="9" t="s">
        <v>8</v>
      </c>
      <c r="E21" s="11">
        <v>0</v>
      </c>
      <c r="F21" s="11">
        <v>0</v>
      </c>
      <c r="G21" s="11">
        <v>0</v>
      </c>
      <c r="I21" s="6"/>
    </row>
    <row r="22" spans="1:17" x14ac:dyDescent="0.2">
      <c r="A22" s="7" t="s">
        <v>16</v>
      </c>
      <c r="B22" s="13">
        <v>0</v>
      </c>
      <c r="C22" s="9" t="s">
        <v>8</v>
      </c>
      <c r="E22" s="11">
        <v>0</v>
      </c>
      <c r="F22" s="11">
        <v>0</v>
      </c>
      <c r="G22" s="11">
        <v>0</v>
      </c>
      <c r="I22" s="6"/>
    </row>
    <row r="23" spans="1:17" x14ac:dyDescent="0.2">
      <c r="A23" s="7"/>
      <c r="I23" s="6"/>
    </row>
    <row r="24" spans="1:17" x14ac:dyDescent="0.2">
      <c r="A24" s="4" t="s">
        <v>17</v>
      </c>
      <c r="B24" s="25" t="s">
        <v>63</v>
      </c>
      <c r="I24" s="6"/>
      <c r="K24" s="1"/>
      <c r="L24" s="2"/>
      <c r="M24" s="2"/>
      <c r="N24" s="2"/>
      <c r="O24" s="2"/>
      <c r="P24" s="2"/>
      <c r="Q24" s="3"/>
    </row>
    <row r="25" spans="1:17" x14ac:dyDescent="0.2">
      <c r="A25" s="7" t="s">
        <v>18</v>
      </c>
      <c r="B25" s="15">
        <v>4.5</v>
      </c>
      <c r="C25" s="9" t="s">
        <v>19</v>
      </c>
      <c r="E25" s="11">
        <v>0</v>
      </c>
      <c r="F25" s="11">
        <v>0</v>
      </c>
      <c r="G25" s="11">
        <v>0</v>
      </c>
      <c r="I25" s="6"/>
      <c r="K25" s="7"/>
      <c r="L25" s="16" t="s">
        <v>20</v>
      </c>
      <c r="M25" s="16"/>
      <c r="N25" s="16"/>
      <c r="O25" s="16" t="s">
        <v>21</v>
      </c>
      <c r="P25" s="16"/>
      <c r="Q25" s="6"/>
    </row>
    <row r="26" spans="1:17" x14ac:dyDescent="0.2">
      <c r="A26" s="7" t="s">
        <v>22</v>
      </c>
      <c r="B26" s="13">
        <v>75.900000000000006</v>
      </c>
      <c r="C26" s="9" t="s">
        <v>8</v>
      </c>
      <c r="E26" s="11">
        <v>0</v>
      </c>
      <c r="F26" s="11">
        <v>0</v>
      </c>
      <c r="G26" s="11">
        <v>0.9</v>
      </c>
      <c r="I26" s="6"/>
      <c r="K26" s="7"/>
      <c r="L26" s="16" t="str">
        <f>E5</f>
        <v>"off"</v>
      </c>
      <c r="M26" s="16">
        <f>SUMPRODUCT(B7:B28, E7:E28)</f>
        <v>1.6500000000000001E-2</v>
      </c>
      <c r="N26" s="16" t="s">
        <v>8</v>
      </c>
      <c r="O26" s="17">
        <f t="shared" ref="O26:O28" si="0">$M$31/M26</f>
        <v>242181.81818181818</v>
      </c>
      <c r="P26" s="16" t="s">
        <v>23</v>
      </c>
      <c r="Q26" s="6"/>
    </row>
    <row r="27" spans="1:17" x14ac:dyDescent="0.2">
      <c r="A27" s="7" t="s">
        <v>24</v>
      </c>
      <c r="B27" s="13">
        <v>1106</v>
      </c>
      <c r="C27" s="9" t="s">
        <v>8</v>
      </c>
      <c r="E27" s="11">
        <v>0</v>
      </c>
      <c r="F27" s="11">
        <v>0</v>
      </c>
      <c r="G27" s="11">
        <v>0.1</v>
      </c>
      <c r="I27" s="6"/>
      <c r="K27" s="7"/>
      <c r="L27" s="16" t="str">
        <f>F5</f>
        <v>"sensing"</v>
      </c>
      <c r="M27" s="16">
        <f>SUMPRODUCT(B7:B28, F7:F28)</f>
        <v>75.900000000000006</v>
      </c>
      <c r="N27" s="16" t="s">
        <v>8</v>
      </c>
      <c r="O27" s="17">
        <f t="shared" si="0"/>
        <v>52.648221343873516</v>
      </c>
      <c r="P27" s="16" t="s">
        <v>23</v>
      </c>
      <c r="Q27" s="6"/>
    </row>
    <row r="28" spans="1:17" x14ac:dyDescent="0.2">
      <c r="A28" s="7" t="s">
        <v>25</v>
      </c>
      <c r="B28" s="13">
        <v>277</v>
      </c>
      <c r="C28" s="9" t="s">
        <v>8</v>
      </c>
      <c r="E28" s="11">
        <v>0</v>
      </c>
      <c r="F28" s="11">
        <v>0</v>
      </c>
      <c r="G28" s="11">
        <v>0</v>
      </c>
      <c r="I28" s="6"/>
      <c r="K28" s="7"/>
      <c r="L28" s="16" t="str">
        <f>G5</f>
        <v>"interactive"</v>
      </c>
      <c r="M28" s="16">
        <f>SUMPRODUCT(B7:B28, G7:G28)</f>
        <v>254.81</v>
      </c>
      <c r="N28" s="16" t="s">
        <v>8</v>
      </c>
      <c r="O28" s="17">
        <f t="shared" si="0"/>
        <v>15.682273066206193</v>
      </c>
      <c r="P28" s="16" t="s">
        <v>23</v>
      </c>
      <c r="Q28" s="6"/>
    </row>
    <row r="29" spans="1:17" x14ac:dyDescent="0.2">
      <c r="A29" s="28" t="s">
        <v>58</v>
      </c>
      <c r="I29" s="6"/>
      <c r="K29" s="7"/>
      <c r="Q29" s="6"/>
    </row>
    <row r="30" spans="1:17" x14ac:dyDescent="0.2">
      <c r="A30" s="4"/>
      <c r="E30" s="15">
        <v>20</v>
      </c>
      <c r="F30" s="15">
        <v>3</v>
      </c>
      <c r="G30" s="15">
        <v>1</v>
      </c>
      <c r="H30" s="30" t="s">
        <v>64</v>
      </c>
      <c r="I30" s="6"/>
      <c r="K30" s="7"/>
      <c r="L30" s="9" t="s">
        <v>26</v>
      </c>
      <c r="Q30" s="6"/>
    </row>
    <row r="31" spans="1:17" x14ac:dyDescent="0.2">
      <c r="A31" s="4" t="s">
        <v>27</v>
      </c>
      <c r="B31" s="25" t="s">
        <v>53</v>
      </c>
      <c r="I31" s="6"/>
      <c r="K31" s="7"/>
      <c r="M31" s="9">
        <f>B32*B33*B34</f>
        <v>3996</v>
      </c>
      <c r="N31" s="9" t="s">
        <v>28</v>
      </c>
      <c r="Q31" s="6"/>
    </row>
    <row r="32" spans="1:17" x14ac:dyDescent="0.2">
      <c r="A32" s="7" t="s">
        <v>29</v>
      </c>
      <c r="B32" s="13">
        <v>1200</v>
      </c>
      <c r="C32" s="9" t="s">
        <v>30</v>
      </c>
      <c r="I32" s="6"/>
      <c r="K32" s="7"/>
      <c r="Q32" s="6"/>
    </row>
    <row r="33" spans="1:17" x14ac:dyDescent="0.2">
      <c r="A33" s="7" t="s">
        <v>31</v>
      </c>
      <c r="B33" s="13">
        <v>3.7</v>
      </c>
      <c r="C33" s="9" t="s">
        <v>32</v>
      </c>
      <c r="I33" s="6"/>
      <c r="K33" s="7"/>
      <c r="L33" s="18" t="s">
        <v>33</v>
      </c>
      <c r="M33" s="19">
        <f>M31/(E30*M26+F30*M27+G30*M28)</f>
        <v>8.2760334686438561</v>
      </c>
      <c r="N33" s="18" t="s">
        <v>34</v>
      </c>
      <c r="Q33" s="6"/>
    </row>
    <row r="34" spans="1:17" x14ac:dyDescent="0.2">
      <c r="A34" s="28" t="s">
        <v>54</v>
      </c>
      <c r="B34" s="11">
        <v>0.9</v>
      </c>
      <c r="I34" s="6"/>
      <c r="K34" s="7"/>
      <c r="L34" s="18" t="s">
        <v>35</v>
      </c>
      <c r="M34" s="19">
        <f>M33*24</f>
        <v>198.62480324745255</v>
      </c>
      <c r="N34" s="18" t="s">
        <v>23</v>
      </c>
      <c r="Q34" s="6"/>
    </row>
    <row r="35" spans="1:17" x14ac:dyDescent="0.2">
      <c r="A35" s="20"/>
      <c r="B35" s="21"/>
      <c r="C35" s="21"/>
      <c r="D35" s="21"/>
      <c r="E35" s="21"/>
      <c r="F35" s="21"/>
      <c r="G35" s="21"/>
      <c r="H35" s="21"/>
      <c r="I35" s="22"/>
      <c r="K35" s="20"/>
      <c r="L35" s="21"/>
      <c r="M35" s="21"/>
      <c r="N35" s="21"/>
      <c r="O35" s="21"/>
      <c r="P35" s="21"/>
      <c r="Q35" s="22"/>
    </row>
    <row r="38" spans="1:17" x14ac:dyDescent="0.2">
      <c r="A38" s="5" t="s">
        <v>36</v>
      </c>
    </row>
    <row r="39" spans="1:17" ht="15.75" customHeight="1" x14ac:dyDescent="0.2">
      <c r="A39" s="31" t="s">
        <v>65</v>
      </c>
    </row>
    <row r="40" spans="1:17" ht="15.75" customHeight="1" x14ac:dyDescent="0.2">
      <c r="A40" s="25" t="s">
        <v>66</v>
      </c>
    </row>
    <row r="41" spans="1:17" ht="15.75" customHeight="1" x14ac:dyDescent="0.2">
      <c r="A41" s="25" t="s">
        <v>67</v>
      </c>
    </row>
    <row r="42" spans="1:17" ht="15.75" customHeight="1" x14ac:dyDescent="0.2">
      <c r="A42" s="31" t="s">
        <v>68</v>
      </c>
    </row>
    <row r="43" spans="1:17" ht="15.75" customHeight="1" x14ac:dyDescent="0.2">
      <c r="A43" s="25" t="s">
        <v>69</v>
      </c>
    </row>
    <row r="44" spans="1:17" ht="15.75" customHeight="1" x14ac:dyDescent="0.2">
      <c r="A44" t="s">
        <v>70</v>
      </c>
    </row>
    <row r="45" spans="1:17" ht="15.75" customHeight="1" x14ac:dyDescent="0.2">
      <c r="A45" s="31" t="s">
        <v>71</v>
      </c>
    </row>
    <row r="46" spans="1:17" ht="15.75" customHeight="1" x14ac:dyDescent="0.2">
      <c r="A46" s="25" t="s">
        <v>72</v>
      </c>
    </row>
    <row r="47" spans="1:17" ht="15.75" customHeight="1" x14ac:dyDescent="0.2">
      <c r="A47" s="25" t="s">
        <v>73</v>
      </c>
    </row>
    <row r="48" spans="1:17" ht="15.75" customHeight="1" x14ac:dyDescent="0.2">
      <c r="A48" s="25" t="s">
        <v>74</v>
      </c>
    </row>
    <row r="49" spans="1:1" ht="15.75" customHeight="1" x14ac:dyDescent="0.2">
      <c r="A49" t="s">
        <v>75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/>
  </sheetViews>
  <sheetFormatPr defaultColWidth="12.5703125" defaultRowHeight="15.75" customHeight="1" x14ac:dyDescent="0.2"/>
  <sheetData>
    <row r="50" spans="1:23" x14ac:dyDescent="0.2">
      <c r="A50" s="9" t="s">
        <v>37</v>
      </c>
    </row>
    <row r="52" spans="1:23" x14ac:dyDescent="0.2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T52" s="9" t="str">
        <f>'System Parameters'!E3</f>
        <v>Profiles (usage of each component mode - defined by software and usage)</v>
      </c>
      <c r="U52" s="9">
        <f>'System Parameters'!F3</f>
        <v>0</v>
      </c>
      <c r="V52" s="9">
        <f>'System Parameters'!G3</f>
        <v>0</v>
      </c>
      <c r="W52" s="9">
        <f>'System Parameters'!H3</f>
        <v>0</v>
      </c>
    </row>
    <row r="53" spans="1:23" x14ac:dyDescent="0.2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T53" s="9">
        <f>'System Parameters'!E4</f>
        <v>0</v>
      </c>
      <c r="U53" s="9">
        <f>'System Parameters'!F4</f>
        <v>0</v>
      </c>
      <c r="V53" s="9">
        <f>'System Parameters'!G4</f>
        <v>0</v>
      </c>
      <c r="W53" s="9">
        <f>'System Parameters'!H4</f>
        <v>0</v>
      </c>
    </row>
    <row r="54" spans="1:23" x14ac:dyDescent="0.2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T54" s="9" t="str">
        <f>'System Parameters'!E5</f>
        <v>"off"</v>
      </c>
      <c r="U54" s="9" t="str">
        <f>'System Parameters'!F5</f>
        <v>"sensing"</v>
      </c>
      <c r="V54" s="9" t="str">
        <f>'System Parameters'!G5</f>
        <v>"interactive"</v>
      </c>
      <c r="W54" s="9">
        <f>'System Parameters'!H5</f>
        <v>0</v>
      </c>
    </row>
    <row r="55" spans="1:23" x14ac:dyDescent="0.2">
      <c r="A55" s="9" t="str">
        <f>'System Parameters'!A6</f>
        <v>Processor</v>
      </c>
      <c r="B55" s="9" t="str">
        <f>'System Parameters'!B6</f>
        <v>The sensing device will sleep for 5 minutes, then wake up, gather data and send to display device in 1 minute.</v>
      </c>
      <c r="C55" s="9">
        <f>'System Parameters'!C6</f>
        <v>0</v>
      </c>
      <c r="D55" s="9">
        <f>'System Parameters'!D6</f>
        <v>0</v>
      </c>
      <c r="T55" s="9">
        <f>'System Parameters'!E6</f>
        <v>0</v>
      </c>
      <c r="U55" s="9">
        <f>'System Parameters'!F6</f>
        <v>0</v>
      </c>
      <c r="V55" s="9">
        <f>'System Parameters'!G6</f>
        <v>0</v>
      </c>
      <c r="W55" s="9">
        <f>'System Parameters'!H6</f>
        <v>0</v>
      </c>
    </row>
    <row r="56" spans="1:23" x14ac:dyDescent="0.2">
      <c r="A56" s="9" t="str">
        <f>'System Parameters'!A7</f>
        <v>Active</v>
      </c>
      <c r="B56" s="14">
        <f>'System Parameters'!B7</f>
        <v>75.900000000000006</v>
      </c>
      <c r="C56" s="9" t="str">
        <f>'System Parameters'!C7</f>
        <v>mW</v>
      </c>
      <c r="D56" s="9">
        <f>$B56*0.9</f>
        <v>68.31</v>
      </c>
      <c r="E56" s="14">
        <f t="shared" ref="E56:O56" si="0">$B56</f>
        <v>75.900000000000006</v>
      </c>
      <c r="F56" s="14">
        <f t="shared" si="0"/>
        <v>75.900000000000006</v>
      </c>
      <c r="G56" s="14">
        <f t="shared" si="0"/>
        <v>75.900000000000006</v>
      </c>
      <c r="H56" s="14">
        <f t="shared" si="0"/>
        <v>75.900000000000006</v>
      </c>
      <c r="I56" s="14">
        <f t="shared" si="0"/>
        <v>75.900000000000006</v>
      </c>
      <c r="J56" s="14">
        <f t="shared" si="0"/>
        <v>75.900000000000006</v>
      </c>
      <c r="K56" s="14">
        <f t="shared" si="0"/>
        <v>75.900000000000006</v>
      </c>
      <c r="L56" s="14">
        <f t="shared" si="0"/>
        <v>75.900000000000006</v>
      </c>
      <c r="M56" s="14">
        <f t="shared" si="0"/>
        <v>75.900000000000006</v>
      </c>
      <c r="N56" s="14">
        <f t="shared" si="0"/>
        <v>75.900000000000006</v>
      </c>
      <c r="O56" s="14">
        <f t="shared" si="0"/>
        <v>75.900000000000006</v>
      </c>
      <c r="T56" s="23">
        <f>'System Parameters'!E7</f>
        <v>0</v>
      </c>
      <c r="U56" s="23">
        <f>'System Parameters'!F7</f>
        <v>1</v>
      </c>
      <c r="V56" s="23">
        <f>'System Parameters'!G7</f>
        <v>1</v>
      </c>
      <c r="W56" s="9">
        <f>'System Parameters'!H7</f>
        <v>0</v>
      </c>
    </row>
    <row r="57" spans="1:23" x14ac:dyDescent="0.2">
      <c r="A57" s="9" t="str">
        <f>'System Parameters'!A8</f>
        <v>Idle</v>
      </c>
      <c r="B57" s="14">
        <f>'System Parameters'!B8</f>
        <v>56.1</v>
      </c>
      <c r="C57" s="9" t="str">
        <f>'System Parameters'!C8</f>
        <v>mW</v>
      </c>
      <c r="D57" s="14">
        <f t="shared" ref="D57:D76" si="1">$B57</f>
        <v>56.1</v>
      </c>
      <c r="E57" s="9">
        <f>$B57*0.9</f>
        <v>50.49</v>
      </c>
      <c r="F57" s="14">
        <f t="shared" ref="F57:O57" si="2">$B57</f>
        <v>56.1</v>
      </c>
      <c r="G57" s="14">
        <f t="shared" si="2"/>
        <v>56.1</v>
      </c>
      <c r="H57" s="14">
        <f t="shared" si="2"/>
        <v>56.1</v>
      </c>
      <c r="I57" s="14">
        <f t="shared" si="2"/>
        <v>56.1</v>
      </c>
      <c r="J57" s="14">
        <f t="shared" si="2"/>
        <v>56.1</v>
      </c>
      <c r="K57" s="14">
        <f t="shared" si="2"/>
        <v>56.1</v>
      </c>
      <c r="L57" s="14">
        <f t="shared" si="2"/>
        <v>56.1</v>
      </c>
      <c r="M57" s="14">
        <f t="shared" si="2"/>
        <v>56.1</v>
      </c>
      <c r="N57" s="14">
        <f t="shared" si="2"/>
        <v>56.1</v>
      </c>
      <c r="O57" s="14">
        <f t="shared" si="2"/>
        <v>56.1</v>
      </c>
      <c r="T57" s="23">
        <f>'System Parameters'!E8</f>
        <v>0</v>
      </c>
      <c r="U57" s="23">
        <f>'System Parameters'!F8</f>
        <v>0</v>
      </c>
      <c r="V57" s="23">
        <f>'System Parameters'!G8</f>
        <v>0</v>
      </c>
      <c r="W57" s="9">
        <f>'System Parameters'!H8</f>
        <v>0</v>
      </c>
    </row>
    <row r="58" spans="1:23" x14ac:dyDescent="0.2">
      <c r="A58" s="9" t="str">
        <f>'System Parameters'!A9</f>
        <v>Sleep</v>
      </c>
      <c r="B58" s="14">
        <f>'System Parameters'!B9</f>
        <v>1.6500000000000001E-2</v>
      </c>
      <c r="C58" s="9" t="str">
        <f>'System Parameters'!C9</f>
        <v>mW</v>
      </c>
      <c r="D58" s="14">
        <f t="shared" si="1"/>
        <v>1.6500000000000001E-2</v>
      </c>
      <c r="E58" s="14">
        <f t="shared" ref="E58:E76" si="3">$B58</f>
        <v>1.6500000000000001E-2</v>
      </c>
      <c r="F58" s="9">
        <f>$B58*0.9</f>
        <v>1.485E-2</v>
      </c>
      <c r="G58" s="14">
        <f t="shared" ref="G58:O58" si="4">$B58</f>
        <v>1.6500000000000001E-2</v>
      </c>
      <c r="H58" s="14">
        <f t="shared" si="4"/>
        <v>1.6500000000000001E-2</v>
      </c>
      <c r="I58" s="14">
        <f t="shared" si="4"/>
        <v>1.6500000000000001E-2</v>
      </c>
      <c r="J58" s="14">
        <f t="shared" si="4"/>
        <v>1.6500000000000001E-2</v>
      </c>
      <c r="K58" s="14">
        <f t="shared" si="4"/>
        <v>1.6500000000000001E-2</v>
      </c>
      <c r="L58" s="14">
        <f t="shared" si="4"/>
        <v>1.6500000000000001E-2</v>
      </c>
      <c r="M58" s="14">
        <f t="shared" si="4"/>
        <v>1.6500000000000001E-2</v>
      </c>
      <c r="N58" s="14">
        <f t="shared" si="4"/>
        <v>1.6500000000000001E-2</v>
      </c>
      <c r="O58" s="14">
        <f t="shared" si="4"/>
        <v>1.6500000000000001E-2</v>
      </c>
      <c r="T58" s="23">
        <f>'System Parameters'!E9</f>
        <v>1</v>
      </c>
      <c r="U58" s="23">
        <f>'System Parameters'!F9</f>
        <v>0</v>
      </c>
      <c r="V58" s="23">
        <f>'System Parameters'!G9</f>
        <v>0</v>
      </c>
      <c r="W58" s="9">
        <f>'System Parameters'!H9</f>
        <v>0</v>
      </c>
    </row>
    <row r="59" spans="1:23" x14ac:dyDescent="0.2">
      <c r="A59" s="9" t="str">
        <f>'System Parameters'!A10</f>
        <v>Link to datasheet:https://github.com/menglh20/PlantPulse/blob/main/datasheets/esp32-c3_datasheet.pdf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O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L59" s="9">
        <f t="shared" si="5"/>
        <v>0</v>
      </c>
      <c r="M59" s="9">
        <f t="shared" si="5"/>
        <v>0</v>
      </c>
      <c r="N59" s="9">
        <f t="shared" si="5"/>
        <v>0</v>
      </c>
      <c r="O59" s="9">
        <f t="shared" si="5"/>
        <v>0</v>
      </c>
      <c r="T59" s="9">
        <f>'System Parameters'!E10</f>
        <v>0</v>
      </c>
      <c r="U59" s="9">
        <f>'System Parameters'!F10</f>
        <v>0</v>
      </c>
      <c r="V59" s="9">
        <f>'System Parameters'!G10</f>
        <v>0</v>
      </c>
      <c r="W59" s="9">
        <f>'System Parameters'!H10</f>
        <v>0</v>
      </c>
    </row>
    <row r="60" spans="1:23" x14ac:dyDescent="0.2">
      <c r="A60" s="9" t="str">
        <f>'System Parameters'!A11</f>
        <v>LED</v>
      </c>
      <c r="B60" s="9" t="str">
        <f>'System Parameters'!B11</f>
        <v>The sensing device don't have a LED. So it is all zero.</v>
      </c>
      <c r="C60" s="9">
        <f>'System Parameters'!C11</f>
        <v>0</v>
      </c>
      <c r="D60" s="9" t="str">
        <f t="shared" si="1"/>
        <v>The sensing device don't have a LED. So it is all zero.</v>
      </c>
      <c r="E60" s="9" t="str">
        <f t="shared" si="3"/>
        <v>The sensing device don't have a LED. So it is all zero.</v>
      </c>
      <c r="F60" s="9" t="str">
        <f t="shared" ref="F60:O60" si="6">$B60</f>
        <v>The sensing device don't have a LED. So it is all zero.</v>
      </c>
      <c r="G60" s="9" t="str">
        <f t="shared" si="6"/>
        <v>The sensing device don't have a LED. So it is all zero.</v>
      </c>
      <c r="H60" s="9" t="str">
        <f t="shared" si="6"/>
        <v>The sensing device don't have a LED. So it is all zero.</v>
      </c>
      <c r="I60" s="9" t="str">
        <f t="shared" si="6"/>
        <v>The sensing device don't have a LED. So it is all zero.</v>
      </c>
      <c r="J60" s="9" t="str">
        <f t="shared" si="6"/>
        <v>The sensing device don't have a LED. So it is all zero.</v>
      </c>
      <c r="K60" s="9" t="str">
        <f t="shared" si="6"/>
        <v>The sensing device don't have a LED. So it is all zero.</v>
      </c>
      <c r="L60" s="9" t="str">
        <f t="shared" si="6"/>
        <v>The sensing device don't have a LED. So it is all zero.</v>
      </c>
      <c r="M60" s="9" t="str">
        <f t="shared" si="6"/>
        <v>The sensing device don't have a LED. So it is all zero.</v>
      </c>
      <c r="N60" s="9" t="str">
        <f t="shared" si="6"/>
        <v>The sensing device don't have a LED. So it is all zero.</v>
      </c>
      <c r="O60" s="9" t="str">
        <f t="shared" si="6"/>
        <v>The sensing device don't have a LED. So it is all zero.</v>
      </c>
      <c r="T60" s="9">
        <f>'System Parameters'!E11</f>
        <v>0</v>
      </c>
      <c r="U60" s="9">
        <f>'System Parameters'!F11</f>
        <v>0</v>
      </c>
      <c r="V60" s="9">
        <f>'System Parameters'!G11</f>
        <v>0</v>
      </c>
      <c r="W60" s="9">
        <f>'System Parameters'!H11</f>
        <v>0</v>
      </c>
    </row>
    <row r="61" spans="1:23" x14ac:dyDescent="0.2">
      <c r="A61" s="9" t="str">
        <f>'System Parameters'!A12</f>
        <v>On</v>
      </c>
      <c r="B61" s="14">
        <f>'System Parameters'!B12</f>
        <v>0</v>
      </c>
      <c r="C61" s="9" t="str">
        <f>'System Parameters'!C12</f>
        <v>mW</v>
      </c>
      <c r="D61" s="14">
        <f t="shared" si="1"/>
        <v>0</v>
      </c>
      <c r="E61" s="14">
        <f t="shared" si="3"/>
        <v>0</v>
      </c>
      <c r="F61" s="14">
        <f t="shared" ref="F61:F76" si="7">$B61</f>
        <v>0</v>
      </c>
      <c r="G61" s="9">
        <f>$B61*0.9</f>
        <v>0</v>
      </c>
      <c r="H61" s="14">
        <f t="shared" ref="H61:O61" si="8">$B61</f>
        <v>0</v>
      </c>
      <c r="I61" s="14">
        <f t="shared" si="8"/>
        <v>0</v>
      </c>
      <c r="J61" s="14">
        <f t="shared" si="8"/>
        <v>0</v>
      </c>
      <c r="K61" s="14">
        <f t="shared" si="8"/>
        <v>0</v>
      </c>
      <c r="L61" s="14">
        <f t="shared" si="8"/>
        <v>0</v>
      </c>
      <c r="M61" s="14">
        <f t="shared" si="8"/>
        <v>0</v>
      </c>
      <c r="N61" s="14">
        <f t="shared" si="8"/>
        <v>0</v>
      </c>
      <c r="O61" s="14">
        <f t="shared" si="8"/>
        <v>0</v>
      </c>
      <c r="T61" s="23">
        <f>'System Parameters'!E12</f>
        <v>0</v>
      </c>
      <c r="U61" s="23">
        <f>'System Parameters'!F12</f>
        <v>0</v>
      </c>
      <c r="V61" s="23">
        <f>'System Parameters'!G12</f>
        <v>0</v>
      </c>
      <c r="W61" s="9">
        <f>'System Parameters'!H12</f>
        <v>0</v>
      </c>
    </row>
    <row r="62" spans="1:23" x14ac:dyDescent="0.2">
      <c r="A62" s="9">
        <f>'System Parameters'!A13</f>
        <v>0</v>
      </c>
      <c r="B62" s="14">
        <f>'System Parameters'!B13</f>
        <v>0</v>
      </c>
      <c r="C62" s="9">
        <f>'System Parameters'!C13</f>
        <v>0</v>
      </c>
      <c r="D62" s="14">
        <f t="shared" si="1"/>
        <v>0</v>
      </c>
      <c r="E62" s="14">
        <f t="shared" si="3"/>
        <v>0</v>
      </c>
      <c r="F62" s="14">
        <f t="shared" si="7"/>
        <v>0</v>
      </c>
      <c r="G62" s="14">
        <f t="shared" ref="G62:O62" si="9">$B62</f>
        <v>0</v>
      </c>
      <c r="H62" s="14">
        <f t="shared" si="9"/>
        <v>0</v>
      </c>
      <c r="I62" s="14">
        <f t="shared" si="9"/>
        <v>0</v>
      </c>
      <c r="J62" s="14">
        <f t="shared" si="9"/>
        <v>0</v>
      </c>
      <c r="K62" s="14">
        <f t="shared" si="9"/>
        <v>0</v>
      </c>
      <c r="L62" s="14">
        <f t="shared" si="9"/>
        <v>0</v>
      </c>
      <c r="M62" s="14">
        <f t="shared" si="9"/>
        <v>0</v>
      </c>
      <c r="N62" s="14">
        <f t="shared" si="9"/>
        <v>0</v>
      </c>
      <c r="O62" s="14">
        <f t="shared" si="9"/>
        <v>0</v>
      </c>
      <c r="T62" s="9">
        <f>'System Parameters'!E13</f>
        <v>0</v>
      </c>
      <c r="U62" s="9">
        <f>'System Parameters'!F13</f>
        <v>0</v>
      </c>
      <c r="V62" s="9">
        <f>'System Parameters'!G13</f>
        <v>0</v>
      </c>
      <c r="W62" s="9">
        <f>'System Parameters'!H13</f>
        <v>0</v>
      </c>
    </row>
    <row r="63" spans="1:23" x14ac:dyDescent="0.2">
      <c r="A63" s="9">
        <f>'System Parameters'!A14</f>
        <v>0</v>
      </c>
      <c r="B63" s="14">
        <f>'System Parameters'!B14</f>
        <v>0</v>
      </c>
      <c r="C63" s="9">
        <f>'System Parameters'!C14</f>
        <v>0</v>
      </c>
      <c r="D63" s="14">
        <f t="shared" si="1"/>
        <v>0</v>
      </c>
      <c r="E63" s="14">
        <f t="shared" si="3"/>
        <v>0</v>
      </c>
      <c r="F63" s="14">
        <f t="shared" si="7"/>
        <v>0</v>
      </c>
      <c r="G63" s="14">
        <f t="shared" ref="G63:O63" si="10">$B63</f>
        <v>0</v>
      </c>
      <c r="H63" s="14">
        <f t="shared" si="10"/>
        <v>0</v>
      </c>
      <c r="I63" s="14">
        <f t="shared" si="10"/>
        <v>0</v>
      </c>
      <c r="J63" s="14">
        <f t="shared" si="10"/>
        <v>0</v>
      </c>
      <c r="K63" s="14">
        <f t="shared" si="10"/>
        <v>0</v>
      </c>
      <c r="L63" s="14">
        <f t="shared" si="10"/>
        <v>0</v>
      </c>
      <c r="M63" s="14">
        <f t="shared" si="10"/>
        <v>0</v>
      </c>
      <c r="N63" s="14">
        <f t="shared" si="10"/>
        <v>0</v>
      </c>
      <c r="O63" s="14">
        <f t="shared" si="10"/>
        <v>0</v>
      </c>
      <c r="T63" s="9">
        <f>'System Parameters'!E14</f>
        <v>0</v>
      </c>
      <c r="U63" s="9">
        <f>'System Parameters'!F14</f>
        <v>0</v>
      </c>
      <c r="V63" s="9">
        <f>'System Parameters'!G14</f>
        <v>0</v>
      </c>
      <c r="W63" s="9">
        <f>'System Parameters'!H14</f>
        <v>0</v>
      </c>
    </row>
    <row r="64" spans="1:23" x14ac:dyDescent="0.2">
      <c r="A64" s="9" t="str">
        <f>'System Parameters'!A15</f>
        <v>Sensor</v>
      </c>
      <c r="B64" s="14" t="str">
        <f>'System Parameters'!B15</f>
        <v>The sensing device has two sensors: "SHT3x" and "SEN0193". When gathering data, they will periodicly work for 50% of total time.</v>
      </c>
      <c r="C64" s="9">
        <f>'System Parameters'!C15</f>
        <v>0</v>
      </c>
      <c r="D64" s="14" t="str">
        <f t="shared" si="1"/>
        <v>The sensing device has two sensors: "SHT3x" and "SEN0193". When gathering data, they will periodicly work for 50% of total time.</v>
      </c>
      <c r="E64" s="14" t="str">
        <f t="shared" si="3"/>
        <v>The sensing device has two sensors: "SHT3x" and "SEN0193". When gathering data, they will periodicly work for 50% of total time.</v>
      </c>
      <c r="F64" s="14" t="str">
        <f t="shared" si="7"/>
        <v>The sensing device has two sensors: "SHT3x" and "SEN0193". When gathering data, they will periodicly work for 50% of total time.</v>
      </c>
      <c r="G64" s="14" t="str">
        <f t="shared" ref="G64:O64" si="11">$B64</f>
        <v>The sensing device has two sensors: "SHT3x" and "SEN0193". When gathering data, they will periodicly work for 50% of total time.</v>
      </c>
      <c r="H64" s="14" t="str">
        <f t="shared" si="11"/>
        <v>The sensing device has two sensors: "SHT3x" and "SEN0193". When gathering data, they will periodicly work for 50% of total time.</v>
      </c>
      <c r="I64" s="14" t="str">
        <f t="shared" si="11"/>
        <v>The sensing device has two sensors: "SHT3x" and "SEN0193". When gathering data, they will periodicly work for 50% of total time.</v>
      </c>
      <c r="J64" s="14" t="str">
        <f t="shared" si="11"/>
        <v>The sensing device has two sensors: "SHT3x" and "SEN0193". When gathering data, they will periodicly work for 50% of total time.</v>
      </c>
      <c r="K64" s="14" t="str">
        <f t="shared" si="11"/>
        <v>The sensing device has two sensors: "SHT3x" and "SEN0193". When gathering data, they will periodicly work for 50% of total time.</v>
      </c>
      <c r="L64" s="14" t="str">
        <f t="shared" si="11"/>
        <v>The sensing device has two sensors: "SHT3x" and "SEN0193". When gathering data, they will periodicly work for 50% of total time.</v>
      </c>
      <c r="M64" s="14" t="str">
        <f t="shared" si="11"/>
        <v>The sensing device has two sensors: "SHT3x" and "SEN0193". When gathering data, they will periodicly work for 50% of total time.</v>
      </c>
      <c r="N64" s="14" t="str">
        <f t="shared" si="11"/>
        <v>The sensing device has two sensors: "SHT3x" and "SEN0193". When gathering data, they will periodicly work for 50% of total time.</v>
      </c>
      <c r="O64" s="14" t="str">
        <f t="shared" si="11"/>
        <v>The sensing device has two sensors: "SHT3x" and "SEN0193". When gathering data, they will periodicly work for 50% of total time.</v>
      </c>
      <c r="T64" s="9">
        <f>'System Parameters'!E15</f>
        <v>0</v>
      </c>
      <c r="U64" s="9">
        <f>'System Parameters'!F15</f>
        <v>0</v>
      </c>
      <c r="V64" s="9">
        <f>'System Parameters'!G15</f>
        <v>0</v>
      </c>
      <c r="W64" s="9">
        <f>'System Parameters'!H15</f>
        <v>0</v>
      </c>
    </row>
    <row r="65" spans="1:23" x14ac:dyDescent="0.2">
      <c r="A65" s="9" t="str">
        <f>'System Parameters'!A16</f>
        <v>On</v>
      </c>
      <c r="B65" s="14" t="str">
        <f>'System Parameters'!B16</f>
        <v>2+16.5=18.5</v>
      </c>
      <c r="C65" s="9" t="str">
        <f>'System Parameters'!C16</f>
        <v>mW</v>
      </c>
      <c r="D65" s="14" t="str">
        <f t="shared" si="1"/>
        <v>2+16.5=18.5</v>
      </c>
      <c r="E65" s="14" t="str">
        <f t="shared" si="3"/>
        <v>2+16.5=18.5</v>
      </c>
      <c r="F65" s="14" t="str">
        <f t="shared" si="7"/>
        <v>2+16.5=18.5</v>
      </c>
      <c r="G65" s="14" t="str">
        <f t="shared" ref="G65:G76" si="12">$B65</f>
        <v>2+16.5=18.5</v>
      </c>
      <c r="H65" s="9" t="e">
        <f>$B65*0.9</f>
        <v>#VALUE!</v>
      </c>
      <c r="I65" s="14" t="str">
        <f t="shared" ref="I65:O65" si="13">$B65</f>
        <v>2+16.5=18.5</v>
      </c>
      <c r="J65" s="14" t="str">
        <f t="shared" si="13"/>
        <v>2+16.5=18.5</v>
      </c>
      <c r="K65" s="14" t="str">
        <f t="shared" si="13"/>
        <v>2+16.5=18.5</v>
      </c>
      <c r="L65" s="14" t="str">
        <f t="shared" si="13"/>
        <v>2+16.5=18.5</v>
      </c>
      <c r="M65" s="14" t="str">
        <f t="shared" si="13"/>
        <v>2+16.5=18.5</v>
      </c>
      <c r="N65" s="14" t="str">
        <f t="shared" si="13"/>
        <v>2+16.5=18.5</v>
      </c>
      <c r="O65" s="14" t="str">
        <f t="shared" si="13"/>
        <v>2+16.5=18.5</v>
      </c>
      <c r="T65" s="23">
        <f>'System Parameters'!E16</f>
        <v>0</v>
      </c>
      <c r="U65" s="23">
        <f>'System Parameters'!F16</f>
        <v>0.5</v>
      </c>
      <c r="V65" s="23">
        <f>'System Parameters'!G16</f>
        <v>0</v>
      </c>
      <c r="W65" s="9">
        <f>'System Parameters'!H16</f>
        <v>0</v>
      </c>
    </row>
    <row r="66" spans="1:23" x14ac:dyDescent="0.2">
      <c r="A66" s="9" t="str">
        <f>'System Parameters'!A17</f>
        <v>Idle</v>
      </c>
      <c r="B66" s="14" t="str">
        <f>'System Parameters'!B17</f>
        <v>0.15+16.5=16.65</v>
      </c>
      <c r="C66" s="9" t="str">
        <f>'System Parameters'!C17</f>
        <v>mW</v>
      </c>
      <c r="D66" s="14" t="str">
        <f t="shared" si="1"/>
        <v>0.15+16.5=16.65</v>
      </c>
      <c r="E66" s="14" t="str">
        <f t="shared" si="3"/>
        <v>0.15+16.5=16.65</v>
      </c>
      <c r="F66" s="14" t="str">
        <f t="shared" si="7"/>
        <v>0.15+16.5=16.65</v>
      </c>
      <c r="G66" s="14" t="str">
        <f t="shared" si="12"/>
        <v>0.15+16.5=16.65</v>
      </c>
      <c r="H66" s="14" t="str">
        <f t="shared" ref="H66:H76" si="14">$B66</f>
        <v>0.15+16.5=16.65</v>
      </c>
      <c r="I66" s="9" t="e">
        <f>$B66*0.9</f>
        <v>#VALUE!</v>
      </c>
      <c r="J66" s="14" t="str">
        <f t="shared" ref="J66:O66" si="15">$B66</f>
        <v>0.15+16.5=16.65</v>
      </c>
      <c r="K66" s="14" t="str">
        <f t="shared" si="15"/>
        <v>0.15+16.5=16.65</v>
      </c>
      <c r="L66" s="14" t="str">
        <f t="shared" si="15"/>
        <v>0.15+16.5=16.65</v>
      </c>
      <c r="M66" s="14" t="str">
        <f t="shared" si="15"/>
        <v>0.15+16.5=16.65</v>
      </c>
      <c r="N66" s="14" t="str">
        <f t="shared" si="15"/>
        <v>0.15+16.5=16.65</v>
      </c>
      <c r="O66" s="14" t="str">
        <f t="shared" si="15"/>
        <v>0.15+16.5=16.65</v>
      </c>
      <c r="T66" s="23">
        <f>'System Parameters'!E17</f>
        <v>0</v>
      </c>
      <c r="U66" s="23">
        <f>'System Parameters'!F17</f>
        <v>0.5</v>
      </c>
      <c r="V66" s="23">
        <f>'System Parameters'!G17</f>
        <v>0</v>
      </c>
      <c r="W66" s="9">
        <f>'System Parameters'!H17</f>
        <v>0</v>
      </c>
    </row>
    <row r="67" spans="1:23" x14ac:dyDescent="0.2">
      <c r="A67" s="9" t="str">
        <f>'System Parameters'!A18</f>
        <v>Off</v>
      </c>
      <c r="B67" s="14">
        <f>'System Parameters'!B18</f>
        <v>0</v>
      </c>
      <c r="C67" s="9" t="str">
        <f>'System Parameters'!C18</f>
        <v>mW</v>
      </c>
      <c r="D67" s="14">
        <f t="shared" si="1"/>
        <v>0</v>
      </c>
      <c r="E67" s="14">
        <f t="shared" si="3"/>
        <v>0</v>
      </c>
      <c r="F67" s="14">
        <f t="shared" si="7"/>
        <v>0</v>
      </c>
      <c r="G67" s="14">
        <f t="shared" si="12"/>
        <v>0</v>
      </c>
      <c r="H67" s="14">
        <f t="shared" si="14"/>
        <v>0</v>
      </c>
      <c r="I67" s="14">
        <f t="shared" ref="I67:I76" si="16">$B67</f>
        <v>0</v>
      </c>
      <c r="J67" s="9">
        <f>$B67*0.9</f>
        <v>0</v>
      </c>
      <c r="K67" s="14">
        <f t="shared" ref="K67:O67" si="17">$B67</f>
        <v>0</v>
      </c>
      <c r="L67" s="14">
        <f t="shared" si="17"/>
        <v>0</v>
      </c>
      <c r="M67" s="14">
        <f t="shared" si="17"/>
        <v>0</v>
      </c>
      <c r="N67" s="14">
        <f t="shared" si="17"/>
        <v>0</v>
      </c>
      <c r="O67" s="14">
        <f t="shared" si="17"/>
        <v>0</v>
      </c>
      <c r="T67" s="23">
        <f>'System Parameters'!E18</f>
        <v>1</v>
      </c>
      <c r="U67" s="23">
        <f>'System Parameters'!F18</f>
        <v>0</v>
      </c>
      <c r="V67" s="23">
        <f>'System Parameters'!G18</f>
        <v>1</v>
      </c>
      <c r="W67" s="9">
        <f>'System Parameters'!H18</f>
        <v>0</v>
      </c>
    </row>
    <row r="68" spans="1:23" x14ac:dyDescent="0.2">
      <c r="A68" s="9" t="str">
        <f>'System Parameters'!A19</f>
        <v>Link to datasheet:https://github.com/menglh20/PlantPulse/blob/main/datasheets/Datasheet_SHT3x_DIS.pdf and  https://github.com/menglh20/PlantPulse/blob/main/datasheets/SEN0193.pdf</v>
      </c>
      <c r="B68" s="14">
        <f>'System Parameters'!B19</f>
        <v>0</v>
      </c>
      <c r="C68" s="9">
        <f>'System Parameters'!C19</f>
        <v>0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si="14"/>
        <v>0</v>
      </c>
      <c r="I68" s="14">
        <f t="shared" si="16"/>
        <v>0</v>
      </c>
      <c r="J68" s="14">
        <f t="shared" ref="J68:O68" si="18">$B68</f>
        <v>0</v>
      </c>
      <c r="K68" s="14">
        <f t="shared" si="18"/>
        <v>0</v>
      </c>
      <c r="L68" s="14">
        <f t="shared" si="18"/>
        <v>0</v>
      </c>
      <c r="M68" s="14">
        <f t="shared" si="18"/>
        <v>0</v>
      </c>
      <c r="N68" s="14">
        <f t="shared" si="18"/>
        <v>0</v>
      </c>
      <c r="O68" s="14">
        <f t="shared" si="18"/>
        <v>0</v>
      </c>
      <c r="T68" s="9">
        <f>'System Parameters'!E19</f>
        <v>0</v>
      </c>
      <c r="U68" s="9">
        <f>'System Parameters'!F19</f>
        <v>0</v>
      </c>
      <c r="V68" s="9">
        <f>'System Parameters'!G19</f>
        <v>0</v>
      </c>
      <c r="W68" s="9">
        <f>'System Parameters'!H19</f>
        <v>0</v>
      </c>
    </row>
    <row r="69" spans="1:23" x14ac:dyDescent="0.2">
      <c r="A69" s="9" t="str">
        <f>'System Parameters'!A20</f>
        <v>Display</v>
      </c>
      <c r="B69" s="14" t="str">
        <f>'System Parameters'!B20</f>
        <v>The sensing device don't have a component for display. So it is all zero.</v>
      </c>
      <c r="C69" s="9">
        <f>'System Parameters'!C20</f>
        <v>0</v>
      </c>
      <c r="D69" s="14" t="str">
        <f t="shared" si="1"/>
        <v>The sensing device don't have a component for display. So it is all zero.</v>
      </c>
      <c r="E69" s="14" t="str">
        <f t="shared" si="3"/>
        <v>The sensing device don't have a component for display. So it is all zero.</v>
      </c>
      <c r="F69" s="14" t="str">
        <f t="shared" si="7"/>
        <v>The sensing device don't have a component for display. So it is all zero.</v>
      </c>
      <c r="G69" s="14" t="str">
        <f t="shared" si="12"/>
        <v>The sensing device don't have a component for display. So it is all zero.</v>
      </c>
      <c r="H69" s="14" t="str">
        <f t="shared" si="14"/>
        <v>The sensing device don't have a component for display. So it is all zero.</v>
      </c>
      <c r="I69" s="14" t="str">
        <f t="shared" si="16"/>
        <v>The sensing device don't have a component for display. So it is all zero.</v>
      </c>
      <c r="J69" s="14" t="str">
        <f t="shared" ref="J69:O69" si="19">$B69</f>
        <v>The sensing device don't have a component for display. So it is all zero.</v>
      </c>
      <c r="K69" s="14" t="str">
        <f t="shared" si="19"/>
        <v>The sensing device don't have a component for display. So it is all zero.</v>
      </c>
      <c r="L69" s="14" t="str">
        <f t="shared" si="19"/>
        <v>The sensing device don't have a component for display. So it is all zero.</v>
      </c>
      <c r="M69" s="14" t="str">
        <f t="shared" si="19"/>
        <v>The sensing device don't have a component for display. So it is all zero.</v>
      </c>
      <c r="N69" s="14" t="str">
        <f t="shared" si="19"/>
        <v>The sensing device don't have a component for display. So it is all zero.</v>
      </c>
      <c r="O69" s="14" t="str">
        <f t="shared" si="19"/>
        <v>The sensing device don't have a component for display. So it is all zero.</v>
      </c>
      <c r="T69" s="9">
        <f>'System Parameters'!E20</f>
        <v>0</v>
      </c>
      <c r="U69" s="9">
        <f>'System Parameters'!F20</f>
        <v>0</v>
      </c>
      <c r="V69" s="9">
        <f>'System Parameters'!G20</f>
        <v>0</v>
      </c>
      <c r="W69" s="9">
        <f>'System Parameters'!H20</f>
        <v>0</v>
      </c>
    </row>
    <row r="70" spans="1:23" x14ac:dyDescent="0.2">
      <c r="A70" s="9" t="str">
        <f>'System Parameters'!A21</f>
        <v>On</v>
      </c>
      <c r="B70" s="14">
        <f>'System Parameters'!B21</f>
        <v>0</v>
      </c>
      <c r="C70" s="9" t="str">
        <f>'System Parameters'!C21</f>
        <v>mW</v>
      </c>
      <c r="D70" s="14">
        <f t="shared" si="1"/>
        <v>0</v>
      </c>
      <c r="E70" s="14">
        <f t="shared" si="3"/>
        <v>0</v>
      </c>
      <c r="F70" s="14">
        <f t="shared" si="7"/>
        <v>0</v>
      </c>
      <c r="G70" s="14">
        <f t="shared" si="12"/>
        <v>0</v>
      </c>
      <c r="H70" s="14">
        <f t="shared" si="14"/>
        <v>0</v>
      </c>
      <c r="I70" s="14">
        <f t="shared" si="16"/>
        <v>0</v>
      </c>
      <c r="J70" s="14">
        <f t="shared" ref="J70:J76" si="20">$B70</f>
        <v>0</v>
      </c>
      <c r="K70" s="9">
        <f>$B70*0.9</f>
        <v>0</v>
      </c>
      <c r="L70" s="14">
        <f t="shared" ref="L70:O70" si="21">$B70</f>
        <v>0</v>
      </c>
      <c r="M70" s="14">
        <f t="shared" si="21"/>
        <v>0</v>
      </c>
      <c r="N70" s="14">
        <f t="shared" si="21"/>
        <v>0</v>
      </c>
      <c r="O70" s="14">
        <f t="shared" si="21"/>
        <v>0</v>
      </c>
      <c r="T70" s="23">
        <f>'System Parameters'!E21</f>
        <v>0</v>
      </c>
      <c r="U70" s="23">
        <f>'System Parameters'!F21</f>
        <v>0</v>
      </c>
      <c r="V70" s="23">
        <f>'System Parameters'!G21</f>
        <v>0</v>
      </c>
      <c r="W70" s="9">
        <f>'System Parameters'!H21</f>
        <v>0</v>
      </c>
    </row>
    <row r="71" spans="1:23" x14ac:dyDescent="0.2">
      <c r="A71" s="9" t="str">
        <f>'System Parameters'!A22</f>
        <v>Off (leakage)</v>
      </c>
      <c r="B71" s="14">
        <f>'System Parameters'!B22</f>
        <v>0</v>
      </c>
      <c r="C71" s="9" t="str">
        <f>'System Parameters'!C22</f>
        <v>mW</v>
      </c>
      <c r="D71" s="14">
        <f t="shared" si="1"/>
        <v>0</v>
      </c>
      <c r="E71" s="14">
        <f t="shared" si="3"/>
        <v>0</v>
      </c>
      <c r="F71" s="14">
        <f t="shared" si="7"/>
        <v>0</v>
      </c>
      <c r="G71" s="14">
        <f t="shared" si="12"/>
        <v>0</v>
      </c>
      <c r="H71" s="14">
        <f t="shared" si="14"/>
        <v>0</v>
      </c>
      <c r="I71" s="14">
        <f t="shared" si="16"/>
        <v>0</v>
      </c>
      <c r="J71" s="14">
        <f t="shared" si="20"/>
        <v>0</v>
      </c>
      <c r="K71" s="14">
        <f t="shared" ref="K71:K76" si="22">$B71</f>
        <v>0</v>
      </c>
      <c r="L71" s="9">
        <f>$B71*0.9</f>
        <v>0</v>
      </c>
      <c r="M71" s="14">
        <f t="shared" ref="M71:O71" si="23">$B71</f>
        <v>0</v>
      </c>
      <c r="N71" s="14">
        <f t="shared" si="23"/>
        <v>0</v>
      </c>
      <c r="O71" s="14">
        <f t="shared" si="23"/>
        <v>0</v>
      </c>
      <c r="T71" s="23">
        <f>'System Parameters'!E22</f>
        <v>0</v>
      </c>
      <c r="U71" s="23">
        <f>'System Parameters'!F22</f>
        <v>0</v>
      </c>
      <c r="V71" s="23">
        <f>'System Parameters'!G22</f>
        <v>0</v>
      </c>
      <c r="W71" s="9">
        <f>'System Parameters'!H22</f>
        <v>0</v>
      </c>
    </row>
    <row r="72" spans="1:23" x14ac:dyDescent="0.2">
      <c r="A72" s="9">
        <f>'System Parameters'!A23</f>
        <v>0</v>
      </c>
      <c r="B72" s="9">
        <f>'System Parameters'!B23</f>
        <v>0</v>
      </c>
      <c r="C72" s="9">
        <f>'System Parameters'!C23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si="14"/>
        <v>0</v>
      </c>
      <c r="I72" s="9">
        <f t="shared" si="16"/>
        <v>0</v>
      </c>
      <c r="J72" s="9">
        <f t="shared" si="20"/>
        <v>0</v>
      </c>
      <c r="K72" s="9">
        <f t="shared" si="22"/>
        <v>0</v>
      </c>
      <c r="L72" s="9">
        <f t="shared" ref="L72:O72" si="24">$B72</f>
        <v>0</v>
      </c>
      <c r="M72" s="9">
        <f t="shared" si="24"/>
        <v>0</v>
      </c>
      <c r="N72" s="9">
        <f t="shared" si="24"/>
        <v>0</v>
      </c>
      <c r="O72" s="9">
        <f t="shared" si="24"/>
        <v>0</v>
      </c>
      <c r="T72" s="9">
        <f>'System Parameters'!E23</f>
        <v>0</v>
      </c>
      <c r="U72" s="9">
        <f>'System Parameters'!F23</f>
        <v>0</v>
      </c>
      <c r="V72" s="9">
        <f>'System Parameters'!G23</f>
        <v>0</v>
      </c>
      <c r="W72" s="9">
        <f>'System Parameters'!H23</f>
        <v>0</v>
      </c>
    </row>
    <row r="73" spans="1:23" x14ac:dyDescent="0.2">
      <c r="A73" s="9" t="str">
        <f>'System Parameters'!A24</f>
        <v>Radio</v>
      </c>
      <c r="B73" s="9" t="str">
        <f>'System Parameters'!B24</f>
        <v>It will use 10% time to send BLE message while 90% time stay connected but not tx during "interative" mode.</v>
      </c>
      <c r="C73" s="9">
        <f>'System Parameters'!C24</f>
        <v>0</v>
      </c>
      <c r="D73" s="9" t="str">
        <f t="shared" si="1"/>
        <v>It will use 10% time to send BLE message while 90% time stay connected but not tx during "interative" mode.</v>
      </c>
      <c r="E73" s="9" t="str">
        <f t="shared" si="3"/>
        <v>It will use 10% time to send BLE message while 90% time stay connected but not tx during "interative" mode.</v>
      </c>
      <c r="F73" s="9" t="str">
        <f t="shared" si="7"/>
        <v>It will use 10% time to send BLE message while 90% time stay connected but not tx during "interative" mode.</v>
      </c>
      <c r="G73" s="9" t="str">
        <f t="shared" si="12"/>
        <v>It will use 10% time to send BLE message while 90% time stay connected but not tx during "interative" mode.</v>
      </c>
      <c r="H73" s="9" t="str">
        <f t="shared" si="14"/>
        <v>It will use 10% time to send BLE message while 90% time stay connected but not tx during "interative" mode.</v>
      </c>
      <c r="I73" s="9" t="str">
        <f t="shared" si="16"/>
        <v>It will use 10% time to send BLE message while 90% time stay connected but not tx during "interative" mode.</v>
      </c>
      <c r="J73" s="9" t="str">
        <f t="shared" si="20"/>
        <v>It will use 10% time to send BLE message while 90% time stay connected but not tx during "interative" mode.</v>
      </c>
      <c r="K73" s="9" t="str">
        <f t="shared" si="22"/>
        <v>It will use 10% time to send BLE message while 90% time stay connected but not tx during "interative" mode.</v>
      </c>
      <c r="L73" s="9" t="str">
        <f t="shared" ref="L73:O73" si="25">$B73</f>
        <v>It will use 10% time to send BLE message while 90% time stay connected but not tx during "interative" mode.</v>
      </c>
      <c r="M73" s="9" t="str">
        <f t="shared" si="25"/>
        <v>It will use 10% time to send BLE message while 90% time stay connected but not tx during "interative" mode.</v>
      </c>
      <c r="N73" s="9" t="str">
        <f t="shared" si="25"/>
        <v>It will use 10% time to send BLE message while 90% time stay connected but not tx during "interative" mode.</v>
      </c>
      <c r="O73" s="9" t="str">
        <f t="shared" si="25"/>
        <v>It will use 10% time to send BLE message while 90% time stay connected but not tx during "interative" mode.</v>
      </c>
      <c r="T73" s="9">
        <f>'System Parameters'!E24</f>
        <v>0</v>
      </c>
      <c r="U73" s="9">
        <f>'System Parameters'!F24</f>
        <v>0</v>
      </c>
      <c r="V73" s="9">
        <f>'System Parameters'!G24</f>
        <v>0</v>
      </c>
      <c r="W73" s="9">
        <f>'System Parameters'!H24</f>
        <v>0</v>
      </c>
    </row>
    <row r="74" spans="1:23" x14ac:dyDescent="0.2">
      <c r="A74" s="9" t="str">
        <f>'System Parameters'!A26</f>
        <v>Standby Power</v>
      </c>
      <c r="B74" s="14">
        <f>'System Parameters'!B26</f>
        <v>75.900000000000006</v>
      </c>
      <c r="C74" s="9" t="str">
        <f>'System Parameters'!C26</f>
        <v>mW</v>
      </c>
      <c r="D74" s="14">
        <f t="shared" si="1"/>
        <v>75.900000000000006</v>
      </c>
      <c r="E74" s="14">
        <f t="shared" si="3"/>
        <v>75.900000000000006</v>
      </c>
      <c r="F74" s="14">
        <f t="shared" si="7"/>
        <v>75.900000000000006</v>
      </c>
      <c r="G74" s="14">
        <f t="shared" si="12"/>
        <v>75.900000000000006</v>
      </c>
      <c r="H74" s="14">
        <f t="shared" si="14"/>
        <v>75.900000000000006</v>
      </c>
      <c r="I74" s="14">
        <f t="shared" si="16"/>
        <v>75.900000000000006</v>
      </c>
      <c r="J74" s="14">
        <f t="shared" si="20"/>
        <v>75.900000000000006</v>
      </c>
      <c r="K74" s="14">
        <f t="shared" si="22"/>
        <v>75.900000000000006</v>
      </c>
      <c r="L74" s="14">
        <f t="shared" ref="L74:L76" si="26">$B74</f>
        <v>75.900000000000006</v>
      </c>
      <c r="M74" s="9">
        <f>$B74*0.9</f>
        <v>68.31</v>
      </c>
      <c r="N74" s="14">
        <f t="shared" ref="N74:O74" si="27">$B74</f>
        <v>75.900000000000006</v>
      </c>
      <c r="O74" s="14">
        <f t="shared" si="27"/>
        <v>75.900000000000006</v>
      </c>
      <c r="T74" s="23">
        <f>'System Parameters'!E26</f>
        <v>0</v>
      </c>
      <c r="U74" s="23">
        <f>'System Parameters'!F26</f>
        <v>0</v>
      </c>
      <c r="V74" s="23">
        <f>'System Parameters'!G26</f>
        <v>0.9</v>
      </c>
      <c r="W74" s="9">
        <f>'System Parameters'!H26</f>
        <v>0</v>
      </c>
    </row>
    <row r="75" spans="1:23" x14ac:dyDescent="0.2">
      <c r="A75" s="9" t="str">
        <f>'System Parameters'!A27</f>
        <v>TX Power</v>
      </c>
      <c r="B75" s="14">
        <f>'System Parameters'!B27</f>
        <v>1106</v>
      </c>
      <c r="C75" s="9" t="str">
        <f>'System Parameters'!C27</f>
        <v>mW</v>
      </c>
      <c r="D75" s="14">
        <f t="shared" si="1"/>
        <v>1106</v>
      </c>
      <c r="E75" s="14">
        <f t="shared" si="3"/>
        <v>1106</v>
      </c>
      <c r="F75" s="14">
        <f t="shared" si="7"/>
        <v>1106</v>
      </c>
      <c r="G75" s="14">
        <f t="shared" si="12"/>
        <v>1106</v>
      </c>
      <c r="H75" s="14">
        <f t="shared" si="14"/>
        <v>1106</v>
      </c>
      <c r="I75" s="14">
        <f t="shared" si="16"/>
        <v>1106</v>
      </c>
      <c r="J75" s="14">
        <f t="shared" si="20"/>
        <v>1106</v>
      </c>
      <c r="K75" s="14">
        <f t="shared" si="22"/>
        <v>1106</v>
      </c>
      <c r="L75" s="14">
        <f t="shared" si="26"/>
        <v>1106</v>
      </c>
      <c r="M75" s="14">
        <f t="shared" ref="M75:M76" si="28">$B75</f>
        <v>1106</v>
      </c>
      <c r="N75" s="9">
        <f>$B75*0.9</f>
        <v>995.4</v>
      </c>
      <c r="O75" s="14">
        <f>$B75</f>
        <v>1106</v>
      </c>
      <c r="T75" s="23">
        <f>'System Parameters'!E27</f>
        <v>0</v>
      </c>
      <c r="U75" s="23">
        <f>'System Parameters'!F27</f>
        <v>0</v>
      </c>
      <c r="V75" s="23">
        <f>'System Parameters'!G27</f>
        <v>0.1</v>
      </c>
      <c r="W75" s="9">
        <f>'System Parameters'!H27</f>
        <v>0</v>
      </c>
    </row>
    <row r="76" spans="1:23" x14ac:dyDescent="0.2">
      <c r="A76" s="9" t="str">
        <f>'System Parameters'!A28</f>
        <v>RX Power</v>
      </c>
      <c r="B76" s="14">
        <f>'System Parameters'!B28</f>
        <v>277</v>
      </c>
      <c r="C76" s="9" t="str">
        <f>'System Parameters'!C28</f>
        <v>mW</v>
      </c>
      <c r="D76" s="14">
        <f t="shared" si="1"/>
        <v>277</v>
      </c>
      <c r="E76" s="14">
        <f t="shared" si="3"/>
        <v>277</v>
      </c>
      <c r="F76" s="14">
        <f t="shared" si="7"/>
        <v>277</v>
      </c>
      <c r="G76" s="14">
        <f t="shared" si="12"/>
        <v>277</v>
      </c>
      <c r="H76" s="14">
        <f t="shared" si="14"/>
        <v>277</v>
      </c>
      <c r="I76" s="14">
        <f t="shared" si="16"/>
        <v>277</v>
      </c>
      <c r="J76" s="14">
        <f t="shared" si="20"/>
        <v>277</v>
      </c>
      <c r="K76" s="14">
        <f t="shared" si="22"/>
        <v>277</v>
      </c>
      <c r="L76" s="14">
        <f t="shared" si="26"/>
        <v>277</v>
      </c>
      <c r="M76" s="14">
        <f t="shared" si="28"/>
        <v>277</v>
      </c>
      <c r="N76" s="14">
        <f>$B76</f>
        <v>277</v>
      </c>
      <c r="O76" s="9">
        <f>$B76*0.9</f>
        <v>249.3</v>
      </c>
      <c r="T76" s="23">
        <f>'System Parameters'!E28</f>
        <v>0</v>
      </c>
      <c r="U76" s="23">
        <f>'System Parameters'!F28</f>
        <v>0</v>
      </c>
      <c r="V76" s="23">
        <f>'System Parameters'!G28</f>
        <v>0</v>
      </c>
      <c r="W76" s="9">
        <f>'System Parameters'!H28</f>
        <v>0</v>
      </c>
    </row>
    <row r="77" spans="1:23" x14ac:dyDescent="0.2">
      <c r="A77" s="9" t="str">
        <f>'System Parameters'!A29</f>
        <v>Link to datasheet:https://github.com/menglh20/PlantPulse/blob/main/datasheets/esp32-c3_datasheet.pdf</v>
      </c>
      <c r="B77" s="9">
        <f>'System Parameters'!B29</f>
        <v>0</v>
      </c>
      <c r="C77" s="9">
        <f>'System Parameters'!C29</f>
        <v>0</v>
      </c>
      <c r="D77" s="9">
        <f>'System Parameters'!D29</f>
        <v>0</v>
      </c>
      <c r="T77" s="9">
        <f>'System Parameters'!E29</f>
        <v>0</v>
      </c>
      <c r="U77" s="9">
        <f>'System Parameters'!F29</f>
        <v>0</v>
      </c>
      <c r="V77" s="9">
        <f>'System Parameters'!G29</f>
        <v>0</v>
      </c>
      <c r="W77" s="9">
        <f>'System Parameters'!H29</f>
        <v>0</v>
      </c>
    </row>
    <row r="78" spans="1:23" x14ac:dyDescent="0.2">
      <c r="A78" s="9">
        <f>'System Parameters'!A30</f>
        <v>0</v>
      </c>
      <c r="B78" s="9">
        <f>'System Parameters'!B30</f>
        <v>0</v>
      </c>
      <c r="C78" s="9">
        <f>'System Parameters'!C30</f>
        <v>0</v>
      </c>
      <c r="D78" s="9">
        <f>'System Parameters'!D30</f>
        <v>0</v>
      </c>
      <c r="T78" s="9">
        <f>'System Parameters'!E30</f>
        <v>20</v>
      </c>
      <c r="U78" s="9">
        <f>'System Parameters'!F30</f>
        <v>3</v>
      </c>
      <c r="V78" s="9">
        <f>'System Parameters'!G30</f>
        <v>1</v>
      </c>
      <c r="W78" s="9" t="str">
        <f>'System Parameters'!H30</f>
        <v>hours/day typical usage</v>
      </c>
    </row>
    <row r="79" spans="1:23" x14ac:dyDescent="0.2">
      <c r="A79" s="9" t="str">
        <f>'System Parameters'!A31</f>
        <v>Battery</v>
      </c>
      <c r="B79" s="9" t="str">
        <f>'System Parameters'!B31</f>
        <v>Classic LiPo Battery</v>
      </c>
      <c r="C79" s="9">
        <f>'System Parameters'!C31</f>
        <v>0</v>
      </c>
      <c r="D79" s="9">
        <f>'System Parameters'!D31</f>
        <v>0</v>
      </c>
      <c r="T79" s="9">
        <f>'System Parameters'!E31</f>
        <v>0</v>
      </c>
      <c r="U79" s="9">
        <f>'System Parameters'!F31</f>
        <v>0</v>
      </c>
      <c r="V79" s="9">
        <f>'System Parameters'!G31</f>
        <v>0</v>
      </c>
      <c r="W79" s="9">
        <f>'System Parameters'!H31</f>
        <v>0</v>
      </c>
    </row>
    <row r="80" spans="1:23" x14ac:dyDescent="0.2">
      <c r="A80" s="9" t="str">
        <f>'System Parameters'!A32</f>
        <v>Capacity</v>
      </c>
      <c r="B80" s="14">
        <f>'System Parameters'!B32</f>
        <v>1200</v>
      </c>
      <c r="C80" s="9" t="str">
        <f>'System Parameters'!C32</f>
        <v>mAh</v>
      </c>
      <c r="D80" s="9">
        <f>'System Parameters'!D32</f>
        <v>0</v>
      </c>
      <c r="T80" s="9">
        <f>'System Parameters'!E32</f>
        <v>0</v>
      </c>
      <c r="U80" s="9">
        <f>'System Parameters'!F32</f>
        <v>0</v>
      </c>
      <c r="V80" s="9">
        <f>'System Parameters'!G32</f>
        <v>0</v>
      </c>
      <c r="W80" s="9">
        <f>'System Parameters'!H32</f>
        <v>0</v>
      </c>
    </row>
    <row r="81" spans="1:23" x14ac:dyDescent="0.2">
      <c r="A81" s="9" t="str">
        <f>'System Parameters'!A33</f>
        <v>Nominal Voltage</v>
      </c>
      <c r="B81" s="14">
        <f>'System Parameters'!B33</f>
        <v>3.7</v>
      </c>
      <c r="C81" s="9" t="str">
        <f>'System Parameters'!C33</f>
        <v>V</v>
      </c>
      <c r="D81" s="9">
        <f>'System Parameters'!D33</f>
        <v>0</v>
      </c>
      <c r="T81" s="9">
        <f>'System Parameters'!E33</f>
        <v>0</v>
      </c>
      <c r="U81" s="9">
        <f>'System Parameters'!F33</f>
        <v>0</v>
      </c>
      <c r="V81" s="9">
        <f>'System Parameters'!G33</f>
        <v>0</v>
      </c>
      <c r="W81" s="9">
        <f>'System Parameters'!H33</f>
        <v>0</v>
      </c>
    </row>
    <row r="82" spans="1:23" x14ac:dyDescent="0.2">
      <c r="A82" s="9" t="str">
        <f>'System Parameters'!A34</f>
        <v>Regulator Efficiency</v>
      </c>
      <c r="B82" s="23">
        <f>'System Parameters'!B34</f>
        <v>0.9</v>
      </c>
      <c r="C82" s="9">
        <f>'System Parameters'!C34</f>
        <v>0</v>
      </c>
      <c r="D82" s="9">
        <f>'System Parameters'!D34</f>
        <v>0</v>
      </c>
      <c r="T82" s="9">
        <f>'System Parameters'!E34</f>
        <v>0</v>
      </c>
      <c r="U82" s="9">
        <f>'System Parameters'!F34</f>
        <v>0</v>
      </c>
      <c r="V82" s="9">
        <f>'System Parameters'!G34</f>
        <v>0</v>
      </c>
      <c r="W82" s="9">
        <f>'System Parameters'!H34</f>
        <v>0</v>
      </c>
    </row>
    <row r="83" spans="1:23" x14ac:dyDescent="0.2">
      <c r="A83" s="9">
        <f>'System Parameters'!A35</f>
        <v>0</v>
      </c>
      <c r="B83" s="9">
        <f>'System Parameters'!B35</f>
        <v>0</v>
      </c>
      <c r="C83" s="9">
        <f>'System Parameters'!C35</f>
        <v>0</v>
      </c>
      <c r="D83" s="9">
        <f>'System Parameters'!D35</f>
        <v>0</v>
      </c>
      <c r="O83" s="9">
        <f>'System Parameters'!E35</f>
        <v>0</v>
      </c>
      <c r="P83" s="9">
        <f>'System Parameters'!F35</f>
        <v>0</v>
      </c>
      <c r="Q83" s="9">
        <f>'System Parameters'!G35</f>
        <v>0</v>
      </c>
      <c r="R83" s="9">
        <f>'System Parameters'!H35</f>
        <v>0</v>
      </c>
      <c r="S83" s="9">
        <f>'System Parameters'!I35</f>
        <v>0</v>
      </c>
      <c r="T83" s="9">
        <f>'System Parameters'!J35</f>
        <v>0</v>
      </c>
      <c r="U83" s="9" t="e">
        <f t="shared" ref="U83:V83" si="29">#REF!</f>
        <v>#REF!</v>
      </c>
      <c r="V83" s="9" t="e">
        <f t="shared" si="29"/>
        <v>#REF!</v>
      </c>
    </row>
    <row r="84" spans="1:23" x14ac:dyDescent="0.2">
      <c r="A84" s="9">
        <f>'System Parameters'!A36</f>
        <v>0</v>
      </c>
      <c r="B84" s="9">
        <f>'System Parameters'!B36</f>
        <v>0</v>
      </c>
      <c r="C84" s="9">
        <f>'System Parameters'!C36</f>
        <v>0</v>
      </c>
      <c r="D84" s="9">
        <f>'System Parameters'!D36</f>
        <v>0</v>
      </c>
      <c r="O84" s="9">
        <f>'System Parameters'!E36</f>
        <v>0</v>
      </c>
      <c r="P84" s="9">
        <f>'System Parameters'!F36</f>
        <v>0</v>
      </c>
      <c r="Q84" s="9">
        <f>'System Parameters'!G36</f>
        <v>0</v>
      </c>
      <c r="R84" s="9">
        <f>'System Parameters'!H36</f>
        <v>0</v>
      </c>
      <c r="S84" s="9">
        <f>'System Parameters'!I36</f>
        <v>0</v>
      </c>
      <c r="T84" s="9">
        <f>'System Parameters'!J36</f>
        <v>0</v>
      </c>
      <c r="U84" s="9" t="e">
        <f t="shared" ref="U84:V84" si="30">#REF!</f>
        <v>#REF!</v>
      </c>
      <c r="V84" s="9" t="e">
        <f t="shared" si="30"/>
        <v>#REF!</v>
      </c>
    </row>
    <row r="85" spans="1:23" x14ac:dyDescent="0.2">
      <c r="A85" s="9">
        <f>'System Parameters'!A37</f>
        <v>0</v>
      </c>
      <c r="B85" s="9">
        <f>'System Parameters'!K24</f>
        <v>0</v>
      </c>
      <c r="C85" s="9">
        <f>'System Parameters'!L24</f>
        <v>0</v>
      </c>
      <c r="D85" s="9">
        <f>'System Parameters'!M24</f>
        <v>0</v>
      </c>
      <c r="O85" s="9">
        <f>'System Parameters'!N24</f>
        <v>0</v>
      </c>
      <c r="P85" s="9">
        <f>'System Parameters'!O24</f>
        <v>0</v>
      </c>
      <c r="Q85" s="9">
        <f>'System Parameters'!P24</f>
        <v>0</v>
      </c>
      <c r="R85" s="9">
        <f>'System Parameters'!Q24</f>
        <v>0</v>
      </c>
      <c r="S85" s="9">
        <f>'System Parameters'!I37</f>
        <v>0</v>
      </c>
      <c r="T85" s="9">
        <f>'System Parameters'!J37</f>
        <v>0</v>
      </c>
      <c r="U85" s="9" t="e">
        <f t="shared" ref="U85:V85" si="31">#REF!</f>
        <v>#REF!</v>
      </c>
      <c r="V85" s="9" t="e">
        <f t="shared" si="31"/>
        <v>#REF!</v>
      </c>
    </row>
    <row r="86" spans="1:23" x14ac:dyDescent="0.2">
      <c r="A86" s="9" t="str">
        <f>'System Parameters'!A38</f>
        <v xml:space="preserve">REFLECTIONS : WHAT DID YOU LEARN FROM ANALYZING YOUR POWER.  TALK ABOUT SOME POTENTIAL TRADEOFFS. </v>
      </c>
      <c r="B86" s="9">
        <f>'System Parameters'!K25</f>
        <v>0</v>
      </c>
      <c r="C86" s="9" t="e">
        <f t="shared" ref="C86:D86" si="32">#REF!</f>
        <v>#REF!</v>
      </c>
      <c r="D86" s="9" t="e">
        <f t="shared" si="32"/>
        <v>#REF!</v>
      </c>
      <c r="O86" s="9" t="e">
        <f t="shared" ref="O86:Q86" si="33">#REF!</f>
        <v>#REF!</v>
      </c>
      <c r="P86" s="9" t="e">
        <f t="shared" si="33"/>
        <v>#REF!</v>
      </c>
      <c r="Q86" s="9" t="e">
        <f t="shared" si="33"/>
        <v>#REF!</v>
      </c>
      <c r="R86" s="9">
        <f>'System Parameters'!Q25</f>
        <v>0</v>
      </c>
      <c r="S86" s="9">
        <f>'System Parameters'!I38</f>
        <v>0</v>
      </c>
      <c r="T86" s="9">
        <f>'System Parameters'!J38</f>
        <v>0</v>
      </c>
      <c r="U86" s="9" t="e">
        <f t="shared" ref="U86:V86" si="34">#REF!</f>
        <v>#REF!</v>
      </c>
      <c r="V86" s="9" t="e">
        <f t="shared" si="34"/>
        <v>#REF!</v>
      </c>
    </row>
    <row r="87" spans="1:23" x14ac:dyDescent="0.2">
      <c r="A87" s="9" t="str">
        <f>'System Parameters'!L25</f>
        <v>Total power in profile (mw)</v>
      </c>
      <c r="B87" s="9">
        <f>'System Parameters'!M25</f>
        <v>0</v>
      </c>
      <c r="C87" s="9">
        <f>'System Parameters'!N25</f>
        <v>0</v>
      </c>
      <c r="R87" s="9">
        <f>'System Parameters'!Q26</f>
        <v>0</v>
      </c>
      <c r="S87" s="9">
        <f>'System Parameters'!I39</f>
        <v>0</v>
      </c>
      <c r="T87" s="9">
        <f>'System Parameters'!J39</f>
        <v>0</v>
      </c>
      <c r="U87" s="9">
        <f>'System Parameters'!K39</f>
        <v>0</v>
      </c>
      <c r="V87" s="9">
        <f>'System Parameters'!L39</f>
        <v>0</v>
      </c>
    </row>
    <row r="88" spans="1:23" x14ac:dyDescent="0.2">
      <c r="A88" s="9" t="str">
        <f>'System Parameters'!L26</f>
        <v>"off"</v>
      </c>
      <c r="B88" s="9">
        <f>SUMPRODUCT(B56:B76, $T56:$T76)</f>
        <v>1.6500000000000001E-2</v>
      </c>
      <c r="C88" s="9" t="str">
        <f>'System Parameters'!N26</f>
        <v>mW</v>
      </c>
      <c r="D88" s="9">
        <f t="shared" ref="D88:O88" si="35">SUMPRODUCT(D56:D76, $T56:$T76)</f>
        <v>1.6500000000000001E-2</v>
      </c>
      <c r="E88" s="9">
        <f t="shared" si="35"/>
        <v>1.6500000000000001E-2</v>
      </c>
      <c r="F88" s="9">
        <f t="shared" si="35"/>
        <v>1.485E-2</v>
      </c>
      <c r="G88" s="9">
        <f t="shared" si="35"/>
        <v>1.6500000000000001E-2</v>
      </c>
      <c r="H88" s="9" t="e">
        <f t="shared" si="35"/>
        <v>#VALUE!</v>
      </c>
      <c r="I88" s="9" t="e">
        <f t="shared" si="35"/>
        <v>#VALUE!</v>
      </c>
      <c r="J88" s="9">
        <f t="shared" si="35"/>
        <v>1.6500000000000001E-2</v>
      </c>
      <c r="K88" s="9">
        <f t="shared" si="35"/>
        <v>1.6500000000000001E-2</v>
      </c>
      <c r="L88" s="9">
        <f t="shared" si="35"/>
        <v>1.6500000000000001E-2</v>
      </c>
      <c r="M88" s="9">
        <f t="shared" si="35"/>
        <v>1.6500000000000001E-2</v>
      </c>
      <c r="N88" s="9">
        <f t="shared" si="35"/>
        <v>1.6500000000000001E-2</v>
      </c>
      <c r="O88" s="9">
        <f t="shared" si="35"/>
        <v>1.6500000000000001E-2</v>
      </c>
      <c r="R88" s="9">
        <f>'System Parameters'!Q27</f>
        <v>0</v>
      </c>
      <c r="S88" s="9">
        <f>'System Parameters'!I40</f>
        <v>0</v>
      </c>
      <c r="T88" s="9">
        <f>'System Parameters'!J40</f>
        <v>0</v>
      </c>
      <c r="U88" s="9">
        <f>'System Parameters'!K40</f>
        <v>0</v>
      </c>
      <c r="V88" s="9">
        <f>'System Parameters'!L40</f>
        <v>0</v>
      </c>
    </row>
    <row r="89" spans="1:23" x14ac:dyDescent="0.2">
      <c r="A89" s="9" t="str">
        <f>'System Parameters'!L27</f>
        <v>"sensing"</v>
      </c>
      <c r="B89" s="9">
        <f>SUMPRODUCT(B56:B76,$U56:$U76)</f>
        <v>75.900000000000006</v>
      </c>
      <c r="C89" s="9" t="str">
        <f>'System Parameters'!N27</f>
        <v>mW</v>
      </c>
      <c r="D89" s="9">
        <f t="shared" ref="D89:O89" si="36">SUMPRODUCT(D56:D76,$U56:$U76)</f>
        <v>68.31</v>
      </c>
      <c r="E89" s="9">
        <f t="shared" si="36"/>
        <v>75.900000000000006</v>
      </c>
      <c r="F89" s="9">
        <f t="shared" si="36"/>
        <v>75.900000000000006</v>
      </c>
      <c r="G89" s="9">
        <f t="shared" si="36"/>
        <v>75.900000000000006</v>
      </c>
      <c r="H89" s="9" t="e">
        <f t="shared" si="36"/>
        <v>#VALUE!</v>
      </c>
      <c r="I89" s="9" t="e">
        <f t="shared" si="36"/>
        <v>#VALUE!</v>
      </c>
      <c r="J89" s="9">
        <f t="shared" si="36"/>
        <v>75.900000000000006</v>
      </c>
      <c r="K89" s="9">
        <f t="shared" si="36"/>
        <v>75.900000000000006</v>
      </c>
      <c r="L89" s="9">
        <f t="shared" si="36"/>
        <v>75.900000000000006</v>
      </c>
      <c r="M89" s="9">
        <f t="shared" si="36"/>
        <v>75.900000000000006</v>
      </c>
      <c r="N89" s="9">
        <f t="shared" si="36"/>
        <v>75.900000000000006</v>
      </c>
      <c r="O89" s="9">
        <f t="shared" si="36"/>
        <v>75.900000000000006</v>
      </c>
      <c r="R89" s="9">
        <f>'System Parameters'!Q28</f>
        <v>0</v>
      </c>
      <c r="S89" s="9">
        <f>'System Parameters'!I42</f>
        <v>0</v>
      </c>
      <c r="T89" s="9">
        <f>'System Parameters'!J42</f>
        <v>0</v>
      </c>
      <c r="U89" s="9">
        <f>'System Parameters'!K42</f>
        <v>0</v>
      </c>
      <c r="V89" s="9">
        <f>'System Parameters'!L42</f>
        <v>0</v>
      </c>
    </row>
    <row r="90" spans="1:23" x14ac:dyDescent="0.2">
      <c r="A90" s="9" t="str">
        <f>'System Parameters'!L28</f>
        <v>"interactive"</v>
      </c>
      <c r="B90" s="9">
        <f>SUMPRODUCT(B56:B76, $V56:$V76)</f>
        <v>254.81</v>
      </c>
      <c r="C90" s="9" t="str">
        <f>'System Parameters'!N28</f>
        <v>mW</v>
      </c>
      <c r="D90" s="9">
        <f t="shared" ref="D90:O90" si="37">SUMPRODUCT(D56:D76, $V56:$V76)</f>
        <v>247.22000000000003</v>
      </c>
      <c r="E90" s="9">
        <f t="shared" si="37"/>
        <v>254.81</v>
      </c>
      <c r="F90" s="9">
        <f t="shared" si="37"/>
        <v>254.81</v>
      </c>
      <c r="G90" s="9">
        <f t="shared" si="37"/>
        <v>254.81</v>
      </c>
      <c r="H90" s="9" t="e">
        <f t="shared" si="37"/>
        <v>#VALUE!</v>
      </c>
      <c r="I90" s="9" t="e">
        <f t="shared" si="37"/>
        <v>#VALUE!</v>
      </c>
      <c r="J90" s="9">
        <f t="shared" si="37"/>
        <v>254.81</v>
      </c>
      <c r="K90" s="9">
        <f t="shared" si="37"/>
        <v>254.81</v>
      </c>
      <c r="L90" s="9">
        <f t="shared" si="37"/>
        <v>254.81</v>
      </c>
      <c r="M90" s="9">
        <f t="shared" si="37"/>
        <v>247.97900000000004</v>
      </c>
      <c r="N90" s="9">
        <f t="shared" si="37"/>
        <v>243.75</v>
      </c>
      <c r="O90" s="9">
        <f t="shared" si="37"/>
        <v>254.81</v>
      </c>
      <c r="R90" s="9">
        <f>'System Parameters'!Q29</f>
        <v>0</v>
      </c>
      <c r="S90" s="9">
        <f>'System Parameters'!I43</f>
        <v>0</v>
      </c>
      <c r="T90" s="9">
        <f>'System Parameters'!J43</f>
        <v>0</v>
      </c>
      <c r="U90" s="9">
        <f>'System Parameters'!K43</f>
        <v>0</v>
      </c>
      <c r="V90" s="9">
        <f>'System Parameters'!L43</f>
        <v>0</v>
      </c>
    </row>
    <row r="91" spans="1:23" x14ac:dyDescent="0.2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Parameters'!I45</f>
        <v>0</v>
      </c>
      <c r="H91" s="9">
        <f>'System Parameters'!J45</f>
        <v>0</v>
      </c>
      <c r="I91" s="9">
        <f>'System Parameters'!K45</f>
        <v>0</v>
      </c>
      <c r="J91" s="9">
        <f>'System Parameters'!L45</f>
        <v>0</v>
      </c>
      <c r="K91" s="9">
        <f>'System Parameters'!M45</f>
        <v>0</v>
      </c>
      <c r="L91" s="9">
        <f>'System Parameters'!N45</f>
        <v>0</v>
      </c>
      <c r="M91" s="9">
        <f>'System Parameters'!O45</f>
        <v>0</v>
      </c>
      <c r="N91" s="9">
        <f>'System Parameters'!P45</f>
        <v>0</v>
      </c>
      <c r="O91" s="9">
        <f>'System Parameters'!Q45</f>
        <v>0</v>
      </c>
      <c r="R91" s="9">
        <f>'System Parameters'!Q30</f>
        <v>0</v>
      </c>
      <c r="S91" s="9">
        <f>'System Parameters'!I45</f>
        <v>0</v>
      </c>
      <c r="T91" s="9">
        <f>'System Parameters'!J45</f>
        <v>0</v>
      </c>
      <c r="U91" s="9">
        <f>'System Parameters'!K45</f>
        <v>0</v>
      </c>
      <c r="V91" s="9">
        <f>'System Parameters'!L45</f>
        <v>0</v>
      </c>
    </row>
    <row r="92" spans="1:23" x14ac:dyDescent="0.2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>
        <f>'System Parameters'!I46</f>
        <v>0</v>
      </c>
      <c r="H92" s="9">
        <f>'System Parameters'!J46</f>
        <v>0</v>
      </c>
      <c r="I92" s="9">
        <f>'System Parameters'!K46</f>
        <v>0</v>
      </c>
      <c r="J92" s="9">
        <f>'System Parameters'!L46</f>
        <v>0</v>
      </c>
      <c r="K92" s="9">
        <f>'System Parameters'!M46</f>
        <v>0</v>
      </c>
      <c r="L92" s="9">
        <f>'System Parameters'!N46</f>
        <v>0</v>
      </c>
      <c r="M92" s="9">
        <f>'System Parameters'!O46</f>
        <v>0</v>
      </c>
      <c r="N92" s="9">
        <f>'System Parameters'!P46</f>
        <v>0</v>
      </c>
      <c r="O92" s="9">
        <f>'System Parameters'!Q46</f>
        <v>0</v>
      </c>
      <c r="P92" s="9">
        <f>'System Parameters'!O30</f>
        <v>0</v>
      </c>
      <c r="Q92" s="9">
        <f>'System Parameters'!P30</f>
        <v>0</v>
      </c>
      <c r="R92" s="9">
        <f>'System Parameters'!Q31</f>
        <v>0</v>
      </c>
      <c r="S92" s="9">
        <f>'System Parameters'!I46</f>
        <v>0</v>
      </c>
      <c r="T92" s="9">
        <f>'System Parameters'!J46</f>
        <v>0</v>
      </c>
      <c r="U92" s="9">
        <f>'System Parameters'!K46</f>
        <v>0</v>
      </c>
      <c r="V92" s="9">
        <f>'System Parameters'!L46</f>
        <v>0</v>
      </c>
    </row>
    <row r="93" spans="1:23" x14ac:dyDescent="0.2">
      <c r="A93" s="9">
        <f>'System Parameters'!L31</f>
        <v>0</v>
      </c>
      <c r="B93" s="9">
        <f>B80*B81*B82</f>
        <v>3996</v>
      </c>
      <c r="C93" s="9" t="str">
        <f>'System Parameters'!N31</f>
        <v>mW*h</v>
      </c>
      <c r="D93" s="9">
        <f t="shared" ref="D93:O93" si="38">$B93</f>
        <v>3996</v>
      </c>
      <c r="E93" s="9">
        <f t="shared" si="38"/>
        <v>3996</v>
      </c>
      <c r="F93" s="9">
        <f t="shared" si="38"/>
        <v>3996</v>
      </c>
      <c r="G93" s="9">
        <f t="shared" si="38"/>
        <v>3996</v>
      </c>
      <c r="H93" s="9">
        <f t="shared" si="38"/>
        <v>3996</v>
      </c>
      <c r="I93" s="9">
        <f t="shared" si="38"/>
        <v>3996</v>
      </c>
      <c r="J93" s="9">
        <f t="shared" si="38"/>
        <v>3996</v>
      </c>
      <c r="K93" s="9">
        <f t="shared" si="38"/>
        <v>3996</v>
      </c>
      <c r="L93" s="9">
        <f t="shared" si="38"/>
        <v>3996</v>
      </c>
      <c r="M93" s="9">
        <f t="shared" si="38"/>
        <v>3996</v>
      </c>
      <c r="N93" s="9">
        <f t="shared" si="38"/>
        <v>3996</v>
      </c>
      <c r="O93" s="9">
        <f t="shared" si="38"/>
        <v>3996</v>
      </c>
      <c r="P93" s="9">
        <f>'System Parameters'!O31</f>
        <v>0</v>
      </c>
      <c r="Q93" s="9">
        <f>'System Parameters'!P31</f>
        <v>0</v>
      </c>
      <c r="R93" s="9">
        <f>'System Parameters'!Q32</f>
        <v>0</v>
      </c>
      <c r="S93" s="9">
        <f>'System Parameters'!I47</f>
        <v>0</v>
      </c>
      <c r="T93" s="9">
        <f>'System Parameters'!J47</f>
        <v>0</v>
      </c>
      <c r="U93" s="9">
        <f>'System Parameters'!K47</f>
        <v>0</v>
      </c>
      <c r="V93" s="9">
        <f>'System Parameters'!L47</f>
        <v>0</v>
      </c>
    </row>
    <row r="94" spans="1:23" x14ac:dyDescent="0.2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>
        <f>'System Parameters'!Q33</f>
        <v>0</v>
      </c>
      <c r="G94" s="9">
        <f>'System Parameters'!I48</f>
        <v>0</v>
      </c>
      <c r="H94" s="9">
        <f>'System Parameters'!J48</f>
        <v>0</v>
      </c>
      <c r="I94" s="9">
        <f>'System Parameters'!K48</f>
        <v>0</v>
      </c>
      <c r="J94" s="9">
        <f>'System Parameters'!L48</f>
        <v>0</v>
      </c>
      <c r="K94" s="9">
        <f>'System Parameters'!M48</f>
        <v>0</v>
      </c>
      <c r="L94" s="9">
        <f>'System Parameters'!N48</f>
        <v>0</v>
      </c>
      <c r="M94" s="9">
        <f>'System Parameters'!O48</f>
        <v>0</v>
      </c>
      <c r="N94" s="9">
        <f>'System Parameters'!P48</f>
        <v>0</v>
      </c>
      <c r="O94" s="9">
        <f>'System Parameters'!Q48</f>
        <v>0</v>
      </c>
      <c r="P94" s="9">
        <f>'System Parameters'!O32</f>
        <v>0</v>
      </c>
      <c r="Q94" s="9">
        <f>'System Parameters'!P32</f>
        <v>0</v>
      </c>
      <c r="R94" s="9">
        <f>'System Parameters'!Q33</f>
        <v>0</v>
      </c>
      <c r="S94" s="9">
        <f>'System Parameters'!I48</f>
        <v>0</v>
      </c>
      <c r="T94" s="9">
        <f>'System Parameters'!J48</f>
        <v>0</v>
      </c>
      <c r="U94" s="9">
        <f>'System Parameters'!K48</f>
        <v>0</v>
      </c>
      <c r="V94" s="9">
        <f>'System Parameters'!L48</f>
        <v>0</v>
      </c>
    </row>
    <row r="95" spans="1:23" x14ac:dyDescent="0.2">
      <c r="A95" s="9" t="str">
        <f>'System Parameters'!L33</f>
        <v>Days of Use</v>
      </c>
      <c r="B95" s="9">
        <f>B93/($T78*B88+$U78*B89+$V78*B90)</f>
        <v>8.2760334686438561</v>
      </c>
      <c r="C95" s="9" t="str">
        <f>'System Parameters'!N33</f>
        <v>days</v>
      </c>
      <c r="D95" s="9">
        <f t="shared" ref="D95:O95" si="39">D93/($T78*D88+$U78*D89+$V78*D90)</f>
        <v>8.8313295615275802</v>
      </c>
      <c r="E95" s="9">
        <f t="shared" si="39"/>
        <v>8.2760334686438561</v>
      </c>
      <c r="F95" s="9">
        <f t="shared" si="39"/>
        <v>8.2765991379578168</v>
      </c>
      <c r="G95" s="9">
        <f t="shared" si="39"/>
        <v>8.2760334686438561</v>
      </c>
      <c r="H95" s="9" t="e">
        <f t="shared" si="39"/>
        <v>#VALUE!</v>
      </c>
      <c r="I95" s="9" t="e">
        <f t="shared" si="39"/>
        <v>#VALUE!</v>
      </c>
      <c r="J95" s="9">
        <f t="shared" si="39"/>
        <v>8.2760334686438561</v>
      </c>
      <c r="K95" s="9">
        <f t="shared" si="39"/>
        <v>8.2760334686438561</v>
      </c>
      <c r="L95" s="9">
        <f t="shared" si="39"/>
        <v>8.2760334686438561</v>
      </c>
      <c r="M95" s="9">
        <f t="shared" si="39"/>
        <v>8.3947992579972208</v>
      </c>
      <c r="N95" s="9">
        <f t="shared" si="39"/>
        <v>8.4700495993895455</v>
      </c>
      <c r="O95" s="9">
        <f t="shared" si="39"/>
        <v>8.2760334686438561</v>
      </c>
      <c r="P95" s="9">
        <f>'System Parameters'!O33</f>
        <v>0</v>
      </c>
      <c r="Q95" s="9">
        <f>'System Parameters'!P33</f>
        <v>0</v>
      </c>
      <c r="R95" s="9">
        <f>'System Parameters'!Q34</f>
        <v>0</v>
      </c>
      <c r="S95" s="9">
        <f>'System Parameters'!I49</f>
        <v>0</v>
      </c>
      <c r="T95" s="9">
        <f>'System Parameters'!J49</f>
        <v>0</v>
      </c>
      <c r="U95" s="9">
        <f>'System Parameters'!K49</f>
        <v>0</v>
      </c>
      <c r="V95" s="9">
        <f>'System Parameters'!L49</f>
        <v>0</v>
      </c>
    </row>
    <row r="96" spans="1:23" x14ac:dyDescent="0.2">
      <c r="A96" s="9" t="str">
        <f>'System Parameters'!L34</f>
        <v>Hours of Use</v>
      </c>
      <c r="B96" s="9">
        <f>B95*24</f>
        <v>198.62480324745255</v>
      </c>
      <c r="C96" s="9" t="str">
        <f>'System Parameters'!N34</f>
        <v>hours</v>
      </c>
      <c r="D96" s="9">
        <f t="shared" ref="D96:O96" si="40">D95*24</f>
        <v>211.95190947666191</v>
      </c>
      <c r="E96" s="9">
        <f t="shared" si="40"/>
        <v>198.62480324745255</v>
      </c>
      <c r="F96" s="9">
        <f t="shared" si="40"/>
        <v>198.6383793109876</v>
      </c>
      <c r="G96" s="9">
        <f t="shared" si="40"/>
        <v>198.62480324745255</v>
      </c>
      <c r="H96" s="9" t="e">
        <f t="shared" si="40"/>
        <v>#VALUE!</v>
      </c>
      <c r="I96" s="9" t="e">
        <f t="shared" si="40"/>
        <v>#VALUE!</v>
      </c>
      <c r="J96" s="9">
        <f t="shared" si="40"/>
        <v>198.62480324745255</v>
      </c>
      <c r="K96" s="9">
        <f t="shared" si="40"/>
        <v>198.62480324745255</v>
      </c>
      <c r="L96" s="9">
        <f t="shared" si="40"/>
        <v>198.62480324745255</v>
      </c>
      <c r="M96" s="9">
        <f t="shared" si="40"/>
        <v>201.4751821919333</v>
      </c>
      <c r="N96" s="9">
        <f t="shared" si="40"/>
        <v>203.28119038534908</v>
      </c>
      <c r="O96" s="9">
        <f t="shared" si="40"/>
        <v>198.62480324745255</v>
      </c>
      <c r="P96" s="9">
        <f>'System Parameters'!O34</f>
        <v>0</v>
      </c>
      <c r="Q96" s="9">
        <f>'System Parameters'!P34</f>
        <v>0</v>
      </c>
      <c r="R96" s="9">
        <f>'System Parameters'!Q35</f>
        <v>0</v>
      </c>
      <c r="S96" s="9">
        <f>'System Parameters'!I50</f>
        <v>0</v>
      </c>
      <c r="T96" s="9">
        <f>'System Parameters'!J50</f>
        <v>0</v>
      </c>
      <c r="U96" s="9">
        <f>'System Parameters'!K50</f>
        <v>0</v>
      </c>
      <c r="V96" s="9">
        <f>'System Parameters'!L50</f>
        <v>0</v>
      </c>
    </row>
    <row r="97" spans="1:22" x14ac:dyDescent="0.2">
      <c r="A97" s="9">
        <f>'System Parameters'!A51</f>
        <v>0</v>
      </c>
      <c r="B97" s="9">
        <f>'System Parameters'!K36</f>
        <v>0</v>
      </c>
      <c r="C97" s="9">
        <f>'System Parameters'!L36</f>
        <v>0</v>
      </c>
      <c r="D97" s="9">
        <f>'System Parameters'!M36</f>
        <v>0</v>
      </c>
      <c r="O97" s="9">
        <f>'System Parameters'!N36</f>
        <v>0</v>
      </c>
      <c r="P97" s="9">
        <f>'System Parameters'!O36</f>
        <v>0</v>
      </c>
      <c r="Q97" s="9">
        <f>'System Parameters'!P36</f>
        <v>0</v>
      </c>
      <c r="R97" s="9">
        <f>'System Parameters'!Q36</f>
        <v>0</v>
      </c>
      <c r="S97" s="9">
        <f>'System Parameters'!I51</f>
        <v>0</v>
      </c>
      <c r="T97" s="9">
        <f>'System Parameters'!J51</f>
        <v>0</v>
      </c>
      <c r="U97" s="9">
        <f>'System Parameters'!K51</f>
        <v>0</v>
      </c>
      <c r="V97" s="9">
        <f>'System Parameters'!L51</f>
        <v>0</v>
      </c>
    </row>
    <row r="98" spans="1:22" x14ac:dyDescent="0.2">
      <c r="A98" s="9" t="s">
        <v>38</v>
      </c>
      <c r="B98" s="9">
        <f>'System Parameters'!K37</f>
        <v>0</v>
      </c>
      <c r="C98" s="9">
        <f>'System Parameters'!L37</f>
        <v>0</v>
      </c>
      <c r="D98" s="24">
        <f t="shared" ref="D98:O98" si="41">D96/$B96-1</f>
        <v>6.7096888260254506E-2</v>
      </c>
      <c r="E98" s="24">
        <f t="shared" si="41"/>
        <v>0</v>
      </c>
      <c r="F98" s="24">
        <f t="shared" si="41"/>
        <v>6.8350293181307364E-5</v>
      </c>
      <c r="G98" s="24">
        <f t="shared" si="41"/>
        <v>0</v>
      </c>
      <c r="H98" s="24" t="e">
        <f t="shared" si="41"/>
        <v>#VALUE!</v>
      </c>
      <c r="I98" s="24" t="e">
        <f t="shared" si="41"/>
        <v>#VALUE!</v>
      </c>
      <c r="J98" s="24">
        <f t="shared" si="41"/>
        <v>0</v>
      </c>
      <c r="K98" s="24">
        <f t="shared" si="41"/>
        <v>0</v>
      </c>
      <c r="L98" s="24">
        <f t="shared" si="41"/>
        <v>0</v>
      </c>
      <c r="M98" s="24">
        <f t="shared" si="41"/>
        <v>1.4350569001846392E-2</v>
      </c>
      <c r="N98" s="24">
        <f t="shared" si="41"/>
        <v>2.34431302725846E-2</v>
      </c>
      <c r="O98" s="24">
        <f t="shared" si="41"/>
        <v>0</v>
      </c>
      <c r="P98" s="9">
        <f>'System Parameters'!O37</f>
        <v>0</v>
      </c>
      <c r="Q98" s="9">
        <f>'System Parameters'!P37</f>
        <v>0</v>
      </c>
      <c r="R98" s="9">
        <f>'System Parameters'!Q37</f>
        <v>0</v>
      </c>
      <c r="S98" s="9">
        <f>'System Parameters'!I52</f>
        <v>0</v>
      </c>
      <c r="T98" s="9">
        <f>'System Parameters'!J52</f>
        <v>0</v>
      </c>
      <c r="U98" s="9">
        <f>'System Parameters'!K52</f>
        <v>0</v>
      </c>
      <c r="V98" s="9">
        <f>'System Parameters'!L52</f>
        <v>0</v>
      </c>
    </row>
    <row r="99" spans="1:22" x14ac:dyDescent="0.2">
      <c r="A99" s="9" t="s">
        <v>39</v>
      </c>
      <c r="B99" s="9">
        <f>'System Parameters'!K38</f>
        <v>0</v>
      </c>
      <c r="C99" s="9">
        <f>'System Parameters'!L38</f>
        <v>0</v>
      </c>
      <c r="D99" s="9" t="s">
        <v>40</v>
      </c>
      <c r="E99" s="9" t="s">
        <v>41</v>
      </c>
      <c r="F99" s="9" t="s">
        <v>42</v>
      </c>
      <c r="G99" s="9" t="s">
        <v>43</v>
      </c>
      <c r="H99" s="9" t="s">
        <v>44</v>
      </c>
      <c r="I99" s="9" t="s">
        <v>45</v>
      </c>
      <c r="J99" s="9" t="s">
        <v>46</v>
      </c>
      <c r="K99" s="9" t="s">
        <v>47</v>
      </c>
      <c r="L99" s="9" t="s">
        <v>48</v>
      </c>
      <c r="M99" s="9" t="s">
        <v>49</v>
      </c>
      <c r="N99" s="9" t="s">
        <v>50</v>
      </c>
      <c r="O99" s="9" t="s">
        <v>51</v>
      </c>
      <c r="P99" s="9">
        <f>'System Parameters'!O38</f>
        <v>0</v>
      </c>
      <c r="Q99" s="9">
        <f>'System Parameters'!P38</f>
        <v>0</v>
      </c>
      <c r="R99" s="9">
        <f>'System Parameters'!Q38</f>
        <v>0</v>
      </c>
      <c r="S99" s="9">
        <f>'System Parameters'!I53</f>
        <v>0</v>
      </c>
      <c r="T99" s="9">
        <f>'System Parameters'!J53</f>
        <v>0</v>
      </c>
      <c r="U99" s="9">
        <f>'System Parameters'!K53</f>
        <v>0</v>
      </c>
      <c r="V99" s="9">
        <f>'System Parameters'!L53</f>
        <v>0</v>
      </c>
    </row>
    <row r="100" spans="1:22" x14ac:dyDescent="0.2">
      <c r="A100" s="9">
        <f>'System Parameters'!A54</f>
        <v>0</v>
      </c>
      <c r="B100" s="9">
        <f>'System Parameters'!B54</f>
        <v>0</v>
      </c>
      <c r="C100" s="9">
        <f>'System Parameters'!C54</f>
        <v>0</v>
      </c>
      <c r="D100" s="9">
        <f>'System Parameters'!D54</f>
        <v>0</v>
      </c>
      <c r="O100" s="9">
        <f>'System Parameters'!E54</f>
        <v>0</v>
      </c>
      <c r="P100" s="9">
        <f>'System Parameters'!F54</f>
        <v>0</v>
      </c>
      <c r="Q100" s="9">
        <f>'System Parameters'!G54</f>
        <v>0</v>
      </c>
      <c r="R100" s="9">
        <f>'System Parameters'!H54</f>
        <v>0</v>
      </c>
      <c r="S100" s="9">
        <f>'System Parameters'!I54</f>
        <v>0</v>
      </c>
      <c r="T100" s="9">
        <f>'System Parameters'!J54</f>
        <v>0</v>
      </c>
      <c r="U100" s="9">
        <f>'System Parameters'!K54</f>
        <v>0</v>
      </c>
      <c r="V100" s="9">
        <f>'System Parameters'!L54</f>
        <v>0</v>
      </c>
    </row>
    <row r="101" spans="1:22" x14ac:dyDescent="0.2">
      <c r="A101" s="9">
        <f>'System Parameters'!A55</f>
        <v>0</v>
      </c>
      <c r="B101" s="9">
        <f>'System Parameters'!B55</f>
        <v>0</v>
      </c>
      <c r="C101" s="9">
        <f>'System Parameters'!C55</f>
        <v>0</v>
      </c>
      <c r="D101" s="9">
        <f>'System Parameters'!D55</f>
        <v>0</v>
      </c>
      <c r="O101" s="9">
        <f>'System Parameters'!E55</f>
        <v>0</v>
      </c>
      <c r="P101" s="9">
        <f>'System Parameters'!F55</f>
        <v>0</v>
      </c>
      <c r="Q101" s="9">
        <f>'System Parameters'!G55</f>
        <v>0</v>
      </c>
      <c r="R101" s="9">
        <f>'System Parameters'!H55</f>
        <v>0</v>
      </c>
      <c r="S101" s="9">
        <f>'System Parameters'!I55</f>
        <v>0</v>
      </c>
      <c r="T101" s="9">
        <f>'System Parameters'!J55</f>
        <v>0</v>
      </c>
      <c r="U101" s="9">
        <f>'System Parameters'!K55</f>
        <v>0</v>
      </c>
      <c r="V101" s="9">
        <f>'System Parameters'!L55</f>
        <v>0</v>
      </c>
    </row>
    <row r="102" spans="1:22" x14ac:dyDescent="0.2">
      <c r="A102" s="9">
        <f>'System Parameters'!A56</f>
        <v>0</v>
      </c>
      <c r="B102" s="9">
        <f>'System Parameters'!B56</f>
        <v>0</v>
      </c>
      <c r="C102" s="9">
        <f>'System Parameters'!C56</f>
        <v>0</v>
      </c>
      <c r="D102" s="9">
        <f>'System Parameters'!D56</f>
        <v>0</v>
      </c>
      <c r="O102" s="9">
        <f>'System Parameters'!E56</f>
        <v>0</v>
      </c>
      <c r="P102" s="9">
        <f>'System Parameters'!F56</f>
        <v>0</v>
      </c>
      <c r="Q102" s="9">
        <f>'System Parameters'!G56</f>
        <v>0</v>
      </c>
      <c r="R102" s="9">
        <f>'System Parameters'!H56</f>
        <v>0</v>
      </c>
      <c r="S102" s="9">
        <f>'System Parameters'!I56</f>
        <v>0</v>
      </c>
      <c r="T102" s="9">
        <f>'System Parameters'!J56</f>
        <v>0</v>
      </c>
      <c r="U102" s="9">
        <f>'System Parameters'!K56</f>
        <v>0</v>
      </c>
      <c r="V102" s="9">
        <f>'System Parameters'!L56</f>
        <v>0</v>
      </c>
    </row>
    <row r="103" spans="1:22" x14ac:dyDescent="0.2">
      <c r="A103" s="9">
        <f>'System Parameters'!A57</f>
        <v>0</v>
      </c>
      <c r="B103" s="9">
        <f>'System Parameters'!B57</f>
        <v>0</v>
      </c>
      <c r="C103" s="9">
        <f>'System Parameters'!C57</f>
        <v>0</v>
      </c>
      <c r="D103" s="9">
        <f>'System Parameters'!D57</f>
        <v>0</v>
      </c>
      <c r="O103" s="9">
        <f>'System Parameters'!E57</f>
        <v>0</v>
      </c>
      <c r="P103" s="9">
        <f>'System Parameters'!F57</f>
        <v>0</v>
      </c>
      <c r="Q103" s="9">
        <f>'System Parameters'!G57</f>
        <v>0</v>
      </c>
      <c r="R103" s="9">
        <f>'System Parameters'!H57</f>
        <v>0</v>
      </c>
      <c r="S103" s="9">
        <f>'System Parameters'!I57</f>
        <v>0</v>
      </c>
      <c r="T103" s="9">
        <f>'System Parameters'!J57</f>
        <v>0</v>
      </c>
      <c r="U103" s="9">
        <f>'System Parameters'!K57</f>
        <v>0</v>
      </c>
      <c r="V103" s="9">
        <f>'System Parameters'!L57</f>
        <v>0</v>
      </c>
    </row>
    <row r="104" spans="1:22" x14ac:dyDescent="0.2">
      <c r="A104" s="9">
        <f>'System Parameters'!A58</f>
        <v>0</v>
      </c>
      <c r="B104" s="9">
        <f>'System Parameters'!B58</f>
        <v>0</v>
      </c>
      <c r="C104" s="9">
        <f>'System Parameters'!C58</f>
        <v>0</v>
      </c>
      <c r="D104" s="9">
        <f>'System Parameters'!D58</f>
        <v>0</v>
      </c>
      <c r="O104" s="9">
        <f>'System Parameters'!E58</f>
        <v>0</v>
      </c>
      <c r="P104" s="9">
        <f>'System Parameters'!F58</f>
        <v>0</v>
      </c>
      <c r="Q104" s="9">
        <f>'System Parameters'!G58</f>
        <v>0</v>
      </c>
      <c r="R104" s="9">
        <f>'System Parameters'!H58</f>
        <v>0</v>
      </c>
      <c r="S104" s="9">
        <f>'System Parameters'!I58</f>
        <v>0</v>
      </c>
      <c r="T104" s="9">
        <f>'System Parameters'!J58</f>
        <v>0</v>
      </c>
      <c r="U104" s="9">
        <f>'System Parameters'!K58</f>
        <v>0</v>
      </c>
      <c r="V104" s="9">
        <f>'System Parameters'!L58</f>
        <v>0</v>
      </c>
    </row>
    <row r="105" spans="1:22" x14ac:dyDescent="0.2">
      <c r="A105" s="9">
        <f>'System Parameters'!A59</f>
        <v>0</v>
      </c>
      <c r="B105" s="9">
        <f>'System Parameters'!B59</f>
        <v>0</v>
      </c>
      <c r="C105" s="9">
        <f>'System Parameters'!C59</f>
        <v>0</v>
      </c>
      <c r="D105" s="9">
        <f>'System Parameters'!D59</f>
        <v>0</v>
      </c>
      <c r="O105" s="9">
        <f>'System Parameters'!E59</f>
        <v>0</v>
      </c>
      <c r="P105" s="9">
        <f>'System Parameters'!F59</f>
        <v>0</v>
      </c>
      <c r="Q105" s="9">
        <f>'System Parameters'!G59</f>
        <v>0</v>
      </c>
      <c r="R105" s="9">
        <f>'System Parameters'!H59</f>
        <v>0</v>
      </c>
      <c r="S105" s="9">
        <f>'System Parameters'!I59</f>
        <v>0</v>
      </c>
      <c r="T105" s="9">
        <f>'System Parameters'!J59</f>
        <v>0</v>
      </c>
      <c r="U105" s="9">
        <f>'System Parameters'!K59</f>
        <v>0</v>
      </c>
      <c r="V105" s="9">
        <f>'System Parameters'!L59</f>
        <v>0</v>
      </c>
    </row>
    <row r="106" spans="1:22" x14ac:dyDescent="0.2">
      <c r="A106" s="9">
        <f>'System Parameters'!A60</f>
        <v>0</v>
      </c>
      <c r="B106" s="9">
        <f>'System Parameters'!B60</f>
        <v>0</v>
      </c>
      <c r="C106" s="9">
        <f>'System Parameters'!C60</f>
        <v>0</v>
      </c>
      <c r="D106" s="9">
        <f>'System Parameters'!D60</f>
        <v>0</v>
      </c>
      <c r="O106" s="9">
        <f>'System Parameters'!E60</f>
        <v>0</v>
      </c>
      <c r="P106" s="9">
        <f>'System Parameters'!F60</f>
        <v>0</v>
      </c>
      <c r="Q106" s="9">
        <f>'System Parameters'!G60</f>
        <v>0</v>
      </c>
      <c r="R106" s="9">
        <f>'System Parameters'!H60</f>
        <v>0</v>
      </c>
      <c r="S106" s="9">
        <f>'System Parameters'!I60</f>
        <v>0</v>
      </c>
      <c r="T106" s="9">
        <f>'System Parameters'!J60</f>
        <v>0</v>
      </c>
      <c r="U106" s="9">
        <f>'System Parameters'!K60</f>
        <v>0</v>
      </c>
      <c r="V106" s="9">
        <f>'System Parameters'!L60</f>
        <v>0</v>
      </c>
    </row>
    <row r="107" spans="1:22" x14ac:dyDescent="0.2">
      <c r="A107" s="9">
        <f>'System Parameters'!A61</f>
        <v>0</v>
      </c>
      <c r="B107" s="9">
        <f>'System Parameters'!B61</f>
        <v>0</v>
      </c>
      <c r="C107" s="9">
        <f>'System Parameters'!C61</f>
        <v>0</v>
      </c>
      <c r="D107" s="9">
        <f>'System Parameters'!D61</f>
        <v>0</v>
      </c>
      <c r="O107" s="9">
        <f>'System Parameters'!E61</f>
        <v>0</v>
      </c>
      <c r="P107" s="9">
        <f>'System Parameters'!F61</f>
        <v>0</v>
      </c>
      <c r="Q107" s="9">
        <f>'System Parameters'!G61</f>
        <v>0</v>
      </c>
      <c r="R107" s="9">
        <f>'System Parameters'!H61</f>
        <v>0</v>
      </c>
      <c r="S107" s="9">
        <f>'System Parameters'!I61</f>
        <v>0</v>
      </c>
      <c r="T107" s="9">
        <f>'System Parameters'!J61</f>
        <v>0</v>
      </c>
      <c r="U107" s="9">
        <f>'System Parameters'!K61</f>
        <v>0</v>
      </c>
      <c r="V107" s="9">
        <f>'System Parameters'!L61</f>
        <v>0</v>
      </c>
    </row>
    <row r="108" spans="1:22" x14ac:dyDescent="0.2">
      <c r="A108" s="9">
        <f>'System Parameters'!A62</f>
        <v>0</v>
      </c>
      <c r="B108" s="9">
        <f>'System Parameters'!B62</f>
        <v>0</v>
      </c>
      <c r="C108" s="9">
        <f>'System Parameters'!C62</f>
        <v>0</v>
      </c>
      <c r="D108" s="9">
        <f>'System Parameters'!D62</f>
        <v>0</v>
      </c>
      <c r="O108" s="9">
        <f>'System Parameters'!E62</f>
        <v>0</v>
      </c>
      <c r="P108" s="9">
        <f>'System Parameters'!F62</f>
        <v>0</v>
      </c>
      <c r="Q108" s="9">
        <f>'System Parameters'!G62</f>
        <v>0</v>
      </c>
      <c r="R108" s="9">
        <f>'System Parameters'!H62</f>
        <v>0</v>
      </c>
      <c r="S108" s="9">
        <f>'System Parameters'!I62</f>
        <v>0</v>
      </c>
      <c r="T108" s="9">
        <f>'System Parameters'!J62</f>
        <v>0</v>
      </c>
      <c r="U108" s="9">
        <f>'System Parameters'!K62</f>
        <v>0</v>
      </c>
      <c r="V108" s="9">
        <f>'System Parameters'!L62</f>
        <v>0</v>
      </c>
    </row>
    <row r="109" spans="1:22" x14ac:dyDescent="0.2">
      <c r="A109" s="9">
        <f>'System Parameters'!A63</f>
        <v>0</v>
      </c>
      <c r="B109" s="9">
        <f>'System Parameters'!B63</f>
        <v>0</v>
      </c>
      <c r="C109" s="9">
        <f>'System Parameters'!C63</f>
        <v>0</v>
      </c>
      <c r="D109" s="9">
        <f>'System Parameters'!D63</f>
        <v>0</v>
      </c>
      <c r="O109" s="9">
        <f>'System Parameters'!E63</f>
        <v>0</v>
      </c>
      <c r="P109" s="9">
        <f>'System Parameters'!F63</f>
        <v>0</v>
      </c>
      <c r="Q109" s="9">
        <f>'System Parameters'!G63</f>
        <v>0</v>
      </c>
      <c r="R109" s="9">
        <f>'System Parameters'!H63</f>
        <v>0</v>
      </c>
      <c r="S109" s="9">
        <f>'System Parameters'!I63</f>
        <v>0</v>
      </c>
      <c r="T109" s="9">
        <f>'System Parameters'!J63</f>
        <v>0</v>
      </c>
      <c r="U109" s="9">
        <f>'System Parameters'!K63</f>
        <v>0</v>
      </c>
      <c r="V109" s="9">
        <f>'System Parameters'!L63</f>
        <v>0</v>
      </c>
    </row>
    <row r="110" spans="1:22" x14ac:dyDescent="0.2">
      <c r="A110" s="9">
        <f>'System Parameters'!A64</f>
        <v>0</v>
      </c>
      <c r="B110" s="9">
        <f>'System Parameters'!B64</f>
        <v>0</v>
      </c>
      <c r="C110" s="9">
        <f>'System Parameters'!C64</f>
        <v>0</v>
      </c>
      <c r="D110" s="9">
        <f>'System Parameters'!D64</f>
        <v>0</v>
      </c>
      <c r="O110" s="9">
        <f>'System Parameters'!E64</f>
        <v>0</v>
      </c>
      <c r="P110" s="9">
        <f>'System Parameters'!F64</f>
        <v>0</v>
      </c>
      <c r="Q110" s="9">
        <f>'System Parameters'!G64</f>
        <v>0</v>
      </c>
      <c r="R110" s="9">
        <f>'System Parameters'!H64</f>
        <v>0</v>
      </c>
      <c r="S110" s="9">
        <f>'System Parameters'!I64</f>
        <v>0</v>
      </c>
      <c r="T110" s="9">
        <f>'System Parameters'!J64</f>
        <v>0</v>
      </c>
      <c r="U110" s="9">
        <f>'System Parameters'!K64</f>
        <v>0</v>
      </c>
      <c r="V110" s="9">
        <f>'System Parameters'!L64</f>
        <v>0</v>
      </c>
    </row>
    <row r="111" spans="1:22" x14ac:dyDescent="0.2">
      <c r="A111" s="9">
        <f>'System Parameters'!A65</f>
        <v>0</v>
      </c>
      <c r="B111" s="9">
        <f>'System Parameters'!B65</f>
        <v>0</v>
      </c>
      <c r="C111" s="9">
        <f>'System Parameters'!C65</f>
        <v>0</v>
      </c>
      <c r="D111" s="9">
        <f>'System Parameters'!D65</f>
        <v>0</v>
      </c>
      <c r="O111" s="9">
        <f>'System Parameters'!E65</f>
        <v>0</v>
      </c>
      <c r="P111" s="9">
        <f>'System Parameters'!F65</f>
        <v>0</v>
      </c>
      <c r="Q111" s="9">
        <f>'System Parameters'!G65</f>
        <v>0</v>
      </c>
      <c r="R111" s="9">
        <f>'System Parameters'!H65</f>
        <v>0</v>
      </c>
      <c r="S111" s="9">
        <f>'System Parameters'!I65</f>
        <v>0</v>
      </c>
      <c r="T111" s="9">
        <f>'System Parameters'!J65</f>
        <v>0</v>
      </c>
      <c r="U111" s="9">
        <f>'System Parameters'!K65</f>
        <v>0</v>
      </c>
      <c r="V111" s="9">
        <f>'System Parameters'!L65</f>
        <v>0</v>
      </c>
    </row>
    <row r="112" spans="1:22" x14ac:dyDescent="0.2">
      <c r="A112" s="9">
        <f>'System Parameters'!A66</f>
        <v>0</v>
      </c>
      <c r="B112" s="9">
        <f>'System Parameters'!B66</f>
        <v>0</v>
      </c>
      <c r="C112" s="9">
        <f>'System Parameters'!C66</f>
        <v>0</v>
      </c>
      <c r="D112" s="9">
        <f>'System Parameters'!D66</f>
        <v>0</v>
      </c>
      <c r="O112" s="9">
        <f>'System Parameters'!E66</f>
        <v>0</v>
      </c>
      <c r="P112" s="9">
        <f>'System Parameters'!F66</f>
        <v>0</v>
      </c>
      <c r="Q112" s="9">
        <f>'System Parameters'!G66</f>
        <v>0</v>
      </c>
      <c r="R112" s="9">
        <f>'System Parameters'!H66</f>
        <v>0</v>
      </c>
      <c r="S112" s="9">
        <f>'System Parameters'!I66</f>
        <v>0</v>
      </c>
      <c r="T112" s="9">
        <f>'System Parameters'!J66</f>
        <v>0</v>
      </c>
      <c r="U112" s="9">
        <f>'System Parameters'!K66</f>
        <v>0</v>
      </c>
      <c r="V112" s="9">
        <f>'System Parameters'!L66</f>
        <v>0</v>
      </c>
    </row>
    <row r="113" spans="1:22" x14ac:dyDescent="0.2">
      <c r="A113" s="9">
        <f>'System Parameters'!A67</f>
        <v>0</v>
      </c>
      <c r="B113" s="9">
        <f>'System Parameters'!B67</f>
        <v>0</v>
      </c>
      <c r="C113" s="9">
        <f>'System Parameters'!C67</f>
        <v>0</v>
      </c>
      <c r="D113" s="9">
        <f>'System Parameters'!D67</f>
        <v>0</v>
      </c>
      <c r="O113" s="9">
        <f>'System Parameters'!E67</f>
        <v>0</v>
      </c>
      <c r="P113" s="9">
        <f>'System Parameters'!F67</f>
        <v>0</v>
      </c>
      <c r="Q113" s="9">
        <f>'System Parameters'!G67</f>
        <v>0</v>
      </c>
      <c r="R113" s="9">
        <f>'System Parameters'!H67</f>
        <v>0</v>
      </c>
      <c r="S113" s="9">
        <f>'System Parameters'!I67</f>
        <v>0</v>
      </c>
      <c r="T113" s="9">
        <f>'System Parameters'!J67</f>
        <v>0</v>
      </c>
      <c r="U113" s="9">
        <f>'System Parameters'!K67</f>
        <v>0</v>
      </c>
      <c r="V113" s="9">
        <f>'System Parameters'!L67</f>
        <v>0</v>
      </c>
    </row>
    <row r="114" spans="1:22" x14ac:dyDescent="0.2">
      <c r="A114" s="9">
        <f>'System Parameters'!A68</f>
        <v>0</v>
      </c>
      <c r="B114" s="9">
        <f>'System Parameters'!B68</f>
        <v>0</v>
      </c>
      <c r="C114" s="9">
        <f>'System Parameters'!C68</f>
        <v>0</v>
      </c>
      <c r="D114" s="9">
        <f>'System Parameters'!D68</f>
        <v>0</v>
      </c>
      <c r="O114" s="9">
        <f>'System Parameters'!E68</f>
        <v>0</v>
      </c>
      <c r="P114" s="9">
        <f>'System Parameters'!F68</f>
        <v>0</v>
      </c>
      <c r="Q114" s="9">
        <f>'System Parameters'!G68</f>
        <v>0</v>
      </c>
      <c r="R114" s="9">
        <f>'System Parameters'!H68</f>
        <v>0</v>
      </c>
      <c r="S114" s="9">
        <f>'System Parameters'!I68</f>
        <v>0</v>
      </c>
      <c r="T114" s="9">
        <f>'System Parameters'!J68</f>
        <v>0</v>
      </c>
      <c r="U114" s="9">
        <f>'System Parameters'!K68</f>
        <v>0</v>
      </c>
      <c r="V114" s="9">
        <f>'System Parameters'!L68</f>
        <v>0</v>
      </c>
    </row>
    <row r="115" spans="1:22" x14ac:dyDescent="0.2">
      <c r="A115" s="9">
        <f>'System Parameters'!A69</f>
        <v>0</v>
      </c>
      <c r="B115" s="9">
        <f>'System Parameters'!B69</f>
        <v>0</v>
      </c>
      <c r="C115" s="9">
        <f>'System Parameters'!C69</f>
        <v>0</v>
      </c>
      <c r="D115" s="9">
        <f>'System Parameters'!D69</f>
        <v>0</v>
      </c>
      <c r="O115" s="9">
        <f>'System Parameters'!E69</f>
        <v>0</v>
      </c>
      <c r="P115" s="9">
        <f>'System Parameters'!F69</f>
        <v>0</v>
      </c>
      <c r="Q115" s="9">
        <f>'System Parameters'!G69</f>
        <v>0</v>
      </c>
      <c r="R115" s="9">
        <f>'System Parameters'!H69</f>
        <v>0</v>
      </c>
      <c r="S115" s="9">
        <f>'System Parameters'!I69</f>
        <v>0</v>
      </c>
      <c r="T115" s="9">
        <f>'System Parameters'!J69</f>
        <v>0</v>
      </c>
      <c r="U115" s="9">
        <f>'System Parameters'!K69</f>
        <v>0</v>
      </c>
      <c r="V115" s="9">
        <f>'System Parameters'!L69</f>
        <v>0</v>
      </c>
    </row>
    <row r="116" spans="1:22" x14ac:dyDescent="0.2">
      <c r="A116" s="9">
        <f>'System Parameters'!A70</f>
        <v>0</v>
      </c>
      <c r="B116" s="9">
        <f>'System Parameters'!B70</f>
        <v>0</v>
      </c>
      <c r="C116" s="9">
        <f>'System Parameters'!C70</f>
        <v>0</v>
      </c>
      <c r="D116" s="9">
        <f>'System Parameters'!D70</f>
        <v>0</v>
      </c>
      <c r="O116" s="9">
        <f>'System Parameters'!E70</f>
        <v>0</v>
      </c>
      <c r="P116" s="9">
        <f>'System Parameters'!F70</f>
        <v>0</v>
      </c>
      <c r="Q116" s="9">
        <f>'System Parameters'!G70</f>
        <v>0</v>
      </c>
      <c r="R116" s="9">
        <f>'System Parameters'!H70</f>
        <v>0</v>
      </c>
      <c r="S116" s="9">
        <f>'System Parameters'!I70</f>
        <v>0</v>
      </c>
      <c r="T116" s="9">
        <f>'System Parameters'!J70</f>
        <v>0</v>
      </c>
      <c r="U116" s="9">
        <f>'System Parameters'!K70</f>
        <v>0</v>
      </c>
      <c r="V116" s="9">
        <f>'System Parameters'!L70</f>
        <v>0</v>
      </c>
    </row>
    <row r="117" spans="1:22" x14ac:dyDescent="0.2">
      <c r="A117" s="9">
        <f>'System Parameters'!A71</f>
        <v>0</v>
      </c>
      <c r="B117" s="9">
        <f>'System Parameters'!B71</f>
        <v>0</v>
      </c>
      <c r="C117" s="9">
        <f>'System Parameters'!C71</f>
        <v>0</v>
      </c>
      <c r="D117" s="9">
        <f>'System Parameters'!D71</f>
        <v>0</v>
      </c>
      <c r="O117" s="9">
        <f>'System Parameters'!E71</f>
        <v>0</v>
      </c>
      <c r="P117" s="9">
        <f>'System Parameters'!F71</f>
        <v>0</v>
      </c>
      <c r="Q117" s="9">
        <f>'System Parameters'!G71</f>
        <v>0</v>
      </c>
      <c r="R117" s="9">
        <f>'System Parameters'!H71</f>
        <v>0</v>
      </c>
      <c r="S117" s="9">
        <f>'System Parameters'!I71</f>
        <v>0</v>
      </c>
      <c r="T117" s="9">
        <f>'System Parameters'!J71</f>
        <v>0</v>
      </c>
      <c r="U117" s="9">
        <f>'System Parameters'!K71</f>
        <v>0</v>
      </c>
      <c r="V117" s="9">
        <f>'System Parameters'!L71</f>
        <v>0</v>
      </c>
    </row>
    <row r="118" spans="1:22" x14ac:dyDescent="0.2">
      <c r="A118" s="9">
        <f>'System Parameters'!A72</f>
        <v>0</v>
      </c>
      <c r="B118" s="9">
        <f>'System Parameters'!B72</f>
        <v>0</v>
      </c>
      <c r="C118" s="9">
        <f>'System Parameters'!C72</f>
        <v>0</v>
      </c>
      <c r="D118" s="9">
        <f>'System Parameters'!D72</f>
        <v>0</v>
      </c>
      <c r="O118" s="9">
        <f>'System Parameters'!E72</f>
        <v>0</v>
      </c>
      <c r="P118" s="9">
        <f>'System Parameters'!F72</f>
        <v>0</v>
      </c>
      <c r="Q118" s="9">
        <f>'System Parameters'!G72</f>
        <v>0</v>
      </c>
      <c r="R118" s="9">
        <f>'System Parameters'!H72</f>
        <v>0</v>
      </c>
      <c r="S118" s="9">
        <f>'System Parameters'!I72</f>
        <v>0</v>
      </c>
      <c r="T118" s="9">
        <f>'System Parameters'!J72</f>
        <v>0</v>
      </c>
      <c r="U118" s="9">
        <f>'System Parameters'!K72</f>
        <v>0</v>
      </c>
      <c r="V118" s="9">
        <f>'System Parameters'!L72</f>
        <v>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linghao meng</cp:lastModifiedBy>
  <dcterms:modified xsi:type="dcterms:W3CDTF">2026-02-08T02:58:49Z</dcterms:modified>
</cp:coreProperties>
</file>